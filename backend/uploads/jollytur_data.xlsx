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eler" sheetId="1" state="visible" r:id="rId3"/>
    <sheet name="Calisanlar" sheetId="2" state="visible" r:id="rId4"/>
    <sheet name="Hedefler" sheetId="3" state="visible" r:id="rId5"/>
    <sheet name="Yetkinlikler" sheetId="4" state="visible" r:id="rId6"/>
    <sheet name="Karne_Ozet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<sst xmlns="http://schemas.openxmlformats.org/spreadsheetml/2006/main" count="6262" uniqueCount="214">
  <si>
    <t xml:space="preserve">Jolly Tur Performans Yönetimi Demo Veri Seti</t>
  </si>
  <si>
    <t xml:space="preserve">Dönem: 2026 Yıllık Değerlendirme (2. çeyrek sonu gerçekleşmeleriyle). Tüm veriler demo amaçlı kurgudur.</t>
  </si>
  <si>
    <t xml:space="preserve">Rol</t>
  </si>
  <si>
    <t xml:space="preserve">Hedef Ağırlığı</t>
  </si>
  <si>
    <t xml:space="preserve">Yetkinlik Ağırlığı</t>
  </si>
  <si>
    <t xml:space="preserve">Satış Danışmanı</t>
  </si>
  <si>
    <t xml:space="preserve">Çağrı Merkezi Temsilcisi</t>
  </si>
  <si>
    <t xml:space="preserve">Şube Müdürü</t>
  </si>
  <si>
    <t xml:space="preserve">Çağrı Merkezi Yöneticisi</t>
  </si>
  <si>
    <t xml:space="preserve">Satış Direktörü</t>
  </si>
  <si>
    <t xml:space="preserve">Segment</t>
  </si>
  <si>
    <t xml:space="preserve">Alt Sınır</t>
  </si>
  <si>
    <t xml:space="preserve">Açıklama</t>
  </si>
  <si>
    <t xml:space="preserve">Yıldız</t>
  </si>
  <si>
    <t xml:space="preserve">Toplam skor 100 ve üzeri</t>
  </si>
  <si>
    <t xml:space="preserve">Güçlü</t>
  </si>
  <si>
    <t xml:space="preserve">Toplam skor 85 - 99,9</t>
  </si>
  <si>
    <t xml:space="preserve">Beklenen</t>
  </si>
  <si>
    <t xml:space="preserve">Toplam skor 70 - 84,9</t>
  </si>
  <si>
    <t xml:space="preserve">Gelişim Alanı</t>
  </si>
  <si>
    <t xml:space="preserve">Toplam skor 70 altı</t>
  </si>
  <si>
    <t xml:space="preserve">Yetkinlik ölçeği: 1 Beklentinin oldukça altında, 2 Gelişim gerekli, 3 Beklentiyi karşılıyor, 4 Beklentinin üzerinde, 5 Rol model.</t>
  </si>
  <si>
    <t xml:space="preserve">Hedef gerçekleşme oranı %120 ile sınırlandırılır. Ters hedefler puana çevrilerek girilmiştir.</t>
  </si>
  <si>
    <t xml:space="preserve">Sicil No</t>
  </si>
  <si>
    <t xml:space="preserve">Ad Soyad</t>
  </si>
  <si>
    <t xml:space="preserve">Şube</t>
  </si>
  <si>
    <t xml:space="preserve">Bölge</t>
  </si>
  <si>
    <t xml:space="preserve">Yönetici Sicil</t>
  </si>
  <si>
    <t xml:space="preserve">İşe Giriş Tarihi</t>
  </si>
  <si>
    <t xml:space="preserve">JT1001</t>
  </si>
  <si>
    <t xml:space="preserve">Yasemin Arslan</t>
  </si>
  <si>
    <t xml:space="preserve">Genel Müdürlük</t>
  </si>
  <si>
    <t xml:space="preserve">Merkez</t>
  </si>
  <si>
    <t xml:space="preserve">JT1002</t>
  </si>
  <si>
    <t xml:space="preserve">Emre Oral</t>
  </si>
  <si>
    <t xml:space="preserve">Kadıköy</t>
  </si>
  <si>
    <t xml:space="preserve">Marmara</t>
  </si>
  <si>
    <t xml:space="preserve">JT1003</t>
  </si>
  <si>
    <t xml:space="preserve">Burcu Turan</t>
  </si>
  <si>
    <t xml:space="preserve">JT1004</t>
  </si>
  <si>
    <t xml:space="preserve">Mehmet Avcı</t>
  </si>
  <si>
    <t xml:space="preserve">JT1005</t>
  </si>
  <si>
    <t xml:space="preserve">Hande Toprak</t>
  </si>
  <si>
    <t xml:space="preserve">JT1006</t>
  </si>
  <si>
    <t xml:space="preserve">Mehmet Vural</t>
  </si>
  <si>
    <t xml:space="preserve">JT1007</t>
  </si>
  <si>
    <t xml:space="preserve">Ceren Bulut</t>
  </si>
  <si>
    <t xml:space="preserve">Nişantaşı</t>
  </si>
  <si>
    <t xml:space="preserve">JT1008</t>
  </si>
  <si>
    <t xml:space="preserve">Can Acar</t>
  </si>
  <si>
    <t xml:space="preserve">JT1009</t>
  </si>
  <si>
    <t xml:space="preserve">Pelin Eroğlu</t>
  </si>
  <si>
    <t xml:space="preserve">JT1010</t>
  </si>
  <si>
    <t xml:space="preserve">Efe Aydın</t>
  </si>
  <si>
    <t xml:space="preserve">JT1011</t>
  </si>
  <si>
    <t xml:space="preserve">Yasemin Gür</t>
  </si>
  <si>
    <t xml:space="preserve">JT1012</t>
  </si>
  <si>
    <t xml:space="preserve">Doruk Özkan</t>
  </si>
  <si>
    <t xml:space="preserve">Bakırköy</t>
  </si>
  <si>
    <t xml:space="preserve">JT1013</t>
  </si>
  <si>
    <t xml:space="preserve">Gamze Fidan</t>
  </si>
  <si>
    <t xml:space="preserve">JT1014</t>
  </si>
  <si>
    <t xml:space="preserve">Kerem Tekin</t>
  </si>
  <si>
    <t xml:space="preserve">JT1015</t>
  </si>
  <si>
    <t xml:space="preserve">Buse Peker</t>
  </si>
  <si>
    <t xml:space="preserve">JT1016</t>
  </si>
  <si>
    <t xml:space="preserve">Tarık Şimşek</t>
  </si>
  <si>
    <t xml:space="preserve">Alsancak</t>
  </si>
  <si>
    <t xml:space="preserve">Ege</t>
  </si>
  <si>
    <t xml:space="preserve">JT1017</t>
  </si>
  <si>
    <t xml:space="preserve">Buse İnce</t>
  </si>
  <si>
    <t xml:space="preserve">JT1018</t>
  </si>
  <si>
    <t xml:space="preserve">Mert Şahin</t>
  </si>
  <si>
    <t xml:space="preserve">JT1019</t>
  </si>
  <si>
    <t xml:space="preserve">Aslı Korkmaz</t>
  </si>
  <si>
    <t xml:space="preserve">JT1020</t>
  </si>
  <si>
    <t xml:space="preserve">Alp Aksoy</t>
  </si>
  <si>
    <t xml:space="preserve">JT1021</t>
  </si>
  <si>
    <t xml:space="preserve">Nazlı Kaplan</t>
  </si>
  <si>
    <t xml:space="preserve">Kuşadası</t>
  </si>
  <si>
    <t xml:space="preserve">JT1022</t>
  </si>
  <si>
    <t xml:space="preserve">Selim Polat</t>
  </si>
  <si>
    <t xml:space="preserve">JT1023</t>
  </si>
  <si>
    <t xml:space="preserve">Burcu Korkmaz</t>
  </si>
  <si>
    <t xml:space="preserve">JT1024</t>
  </si>
  <si>
    <t xml:space="preserve">Ahmet Fidan</t>
  </si>
  <si>
    <t xml:space="preserve">JT1025</t>
  </si>
  <si>
    <t xml:space="preserve">Deniz Zorlu</t>
  </si>
  <si>
    <t xml:space="preserve">Bodrum</t>
  </si>
  <si>
    <t xml:space="preserve">JT1026</t>
  </si>
  <si>
    <t xml:space="preserve">Cem Sarı</t>
  </si>
  <si>
    <t xml:space="preserve">JT1027</t>
  </si>
  <si>
    <t xml:space="preserve">Ayşe Oral</t>
  </si>
  <si>
    <t xml:space="preserve">JT1028</t>
  </si>
  <si>
    <t xml:space="preserve">Mert Kaplan</t>
  </si>
  <si>
    <t xml:space="preserve">JT1029</t>
  </si>
  <si>
    <t xml:space="preserve">Ceren Aslan</t>
  </si>
  <si>
    <t xml:space="preserve">Antalya Merkez</t>
  </si>
  <si>
    <t xml:space="preserve">Akdeniz</t>
  </si>
  <si>
    <t xml:space="preserve">JT1030</t>
  </si>
  <si>
    <t xml:space="preserve">Oğuz Vural</t>
  </si>
  <si>
    <t xml:space="preserve">JT1031</t>
  </si>
  <si>
    <t xml:space="preserve">Yasemin Güneş</t>
  </si>
  <si>
    <t xml:space="preserve">JT1032</t>
  </si>
  <si>
    <t xml:space="preserve">Mert Aslan</t>
  </si>
  <si>
    <t xml:space="preserve">JT1033</t>
  </si>
  <si>
    <t xml:space="preserve">Esra Aksoy</t>
  </si>
  <si>
    <t xml:space="preserve">JT1034</t>
  </si>
  <si>
    <t xml:space="preserve">Sinan Güneş</t>
  </si>
  <si>
    <t xml:space="preserve">Lara</t>
  </si>
  <si>
    <t xml:space="preserve">JT1035</t>
  </si>
  <si>
    <t xml:space="preserve">Burcu Aydın</t>
  </si>
  <si>
    <t xml:space="preserve">JT1036</t>
  </si>
  <si>
    <t xml:space="preserve">Selim Yaman</t>
  </si>
  <si>
    <t xml:space="preserve">JT1037</t>
  </si>
  <si>
    <t xml:space="preserve">Seda Avcı</t>
  </si>
  <si>
    <t xml:space="preserve">JT1038</t>
  </si>
  <si>
    <t xml:space="preserve">Onur Toprak</t>
  </si>
  <si>
    <t xml:space="preserve">Ankara Kızılay</t>
  </si>
  <si>
    <t xml:space="preserve">İç Anadolu</t>
  </si>
  <si>
    <t xml:space="preserve">JT1039</t>
  </si>
  <si>
    <t xml:space="preserve">Ebru Soylu</t>
  </si>
  <si>
    <t xml:space="preserve">JT1040</t>
  </si>
  <si>
    <t xml:space="preserve">Oğuz Sezer</t>
  </si>
  <si>
    <t xml:space="preserve">JT1041</t>
  </si>
  <si>
    <t xml:space="preserve">Zeynep Bulut</t>
  </si>
  <si>
    <t xml:space="preserve">JT1042</t>
  </si>
  <si>
    <t xml:space="preserve">Can Soylu</t>
  </si>
  <si>
    <t xml:space="preserve">JT1043</t>
  </si>
  <si>
    <t xml:space="preserve">Zeynep Demir</t>
  </si>
  <si>
    <t xml:space="preserve">Ankara Çankaya</t>
  </si>
  <si>
    <t xml:space="preserve">JT1044</t>
  </si>
  <si>
    <t xml:space="preserve">Volkan Kurt</t>
  </si>
  <si>
    <t xml:space="preserve">JT1045</t>
  </si>
  <si>
    <t xml:space="preserve">Burcu Başar</t>
  </si>
  <si>
    <t xml:space="preserve">JT1046</t>
  </si>
  <si>
    <t xml:space="preserve">Emre Öztürk</t>
  </si>
  <si>
    <t xml:space="preserve">JT1047</t>
  </si>
  <si>
    <t xml:space="preserve">Ceren Ateş</t>
  </si>
  <si>
    <t xml:space="preserve">Çağrı Merkezi</t>
  </si>
  <si>
    <t xml:space="preserve">JT1048</t>
  </si>
  <si>
    <t xml:space="preserve">Doruk Kaplan</t>
  </si>
  <si>
    <t xml:space="preserve">JT1049</t>
  </si>
  <si>
    <t xml:space="preserve">Merve Şimşek</t>
  </si>
  <si>
    <t xml:space="preserve">JT1050</t>
  </si>
  <si>
    <t xml:space="preserve">Cem Doğan</t>
  </si>
  <si>
    <t xml:space="preserve">JT1051</t>
  </si>
  <si>
    <t xml:space="preserve">Zeynep Sezer</t>
  </si>
  <si>
    <t xml:space="preserve">JT1052</t>
  </si>
  <si>
    <t xml:space="preserve">Ahmet Kaplan</t>
  </si>
  <si>
    <t xml:space="preserve">JT1053</t>
  </si>
  <si>
    <t xml:space="preserve">Deniz Ateş</t>
  </si>
  <si>
    <t xml:space="preserve">JT1054</t>
  </si>
  <si>
    <t xml:space="preserve">Efe Şahin</t>
  </si>
  <si>
    <t xml:space="preserve">JT1055</t>
  </si>
  <si>
    <t xml:space="preserve">Nil Zorlu</t>
  </si>
  <si>
    <t xml:space="preserve">Hedef</t>
  </si>
  <si>
    <t xml:space="preserve">Ağırlık (%)</t>
  </si>
  <si>
    <t xml:space="preserve">Birim</t>
  </si>
  <si>
    <t xml:space="preserve">Hedef Değer</t>
  </si>
  <si>
    <t xml:space="preserve">Gerçekleşen</t>
  </si>
  <si>
    <t xml:space="preserve">Gerçekleşme (%)</t>
  </si>
  <si>
    <t xml:space="preserve">Ağırlıklı Skor</t>
  </si>
  <si>
    <t xml:space="preserve">Toplam satış cirosu</t>
  </si>
  <si>
    <t xml:space="preserve">TL</t>
  </si>
  <si>
    <t xml:space="preserve">Yeni müşteri kazanımı</t>
  </si>
  <si>
    <t xml:space="preserve">Adet</t>
  </si>
  <si>
    <t xml:space="preserve">Genel müşteri memnuniyeti</t>
  </si>
  <si>
    <t xml:space="preserve">Puan</t>
  </si>
  <si>
    <t xml:space="preserve">Bölge hedef gerçekleşme ortalaması</t>
  </si>
  <si>
    <t xml:space="preserve">%</t>
  </si>
  <si>
    <t xml:space="preserve">Şube toplam satış cirosu</t>
  </si>
  <si>
    <t xml:space="preserve">Şube karlılık puanı</t>
  </si>
  <si>
    <t xml:space="preserve">Şube müşteri memnuniyet skoru</t>
  </si>
  <si>
    <t xml:space="preserve">Ekip hedef gerçekleşme ortalaması</t>
  </si>
  <si>
    <t xml:space="preserve">Ekip bağlılık skoru</t>
  </si>
  <si>
    <t xml:space="preserve">Yıllık satış cirosu</t>
  </si>
  <si>
    <t xml:space="preserve">Erken rezervasyon dönüşüm oranı</t>
  </si>
  <si>
    <t xml:space="preserve">Çapraz satış adedi</t>
  </si>
  <si>
    <t xml:space="preserve">Müşteri memnuniyet skoru (NPS)</t>
  </si>
  <si>
    <t xml:space="preserve">Tekrar satın alan müşteri oranı</t>
  </si>
  <si>
    <t xml:space="preserve">İade oranı (ters hedef, düşük iyi)</t>
  </si>
  <si>
    <t xml:space="preserve">Satışa dönüşüm oranı</t>
  </si>
  <si>
    <t xml:space="preserve">İlk çağrıda çözüm oranı</t>
  </si>
  <si>
    <t xml:space="preserve">Ortalama işlem süresi uyumu</t>
  </si>
  <si>
    <t xml:space="preserve">Yetkinlik No</t>
  </si>
  <si>
    <t xml:space="preserve">Yetkinlik</t>
  </si>
  <si>
    <t xml:space="preserve">Kategori</t>
  </si>
  <si>
    <t xml:space="preserve">Öz Değerlendirme (1-5)</t>
  </si>
  <si>
    <t xml:space="preserve">Yönetici Puanı (1-5)</t>
  </si>
  <si>
    <t xml:space="preserve">Fark (Öz - Yönetici)</t>
  </si>
  <si>
    <t xml:space="preserve">Müşteri Odaklılık</t>
  </si>
  <si>
    <t xml:space="preserve">Temel</t>
  </si>
  <si>
    <t xml:space="preserve">Sonuç Odaklılık</t>
  </si>
  <si>
    <t xml:space="preserve">İş Birliği ve Ekip Çalışması</t>
  </si>
  <si>
    <t xml:space="preserve">Ekip Geliştirme ve Koçluk</t>
  </si>
  <si>
    <t xml:space="preserve">Yönetsel</t>
  </si>
  <si>
    <t xml:space="preserve">Planlama ve Delegasyon</t>
  </si>
  <si>
    <t xml:space="preserve">Ticari Bakış Açısı</t>
  </si>
  <si>
    <t xml:space="preserve">Dijital Araç ve Kanal Kullanımı</t>
  </si>
  <si>
    <t xml:space="preserve">Dijital</t>
  </si>
  <si>
    <t xml:space="preserve">İletişim</t>
  </si>
  <si>
    <t xml:space="preserve">Davranışsal</t>
  </si>
  <si>
    <t xml:space="preserve">İkna ve Müzakere</t>
  </si>
  <si>
    <t xml:space="preserve">Ürün ve Destinasyon Bilgisi</t>
  </si>
  <si>
    <t xml:space="preserve">Teknik</t>
  </si>
  <si>
    <t xml:space="preserve">Rezervasyon Sistemleri Kullanımı</t>
  </si>
  <si>
    <t xml:space="preserve">Fırsat Yakalama ve Çapraz Satış</t>
  </si>
  <si>
    <t xml:space="preserve">Fonksiyonel</t>
  </si>
  <si>
    <t xml:space="preserve">Müşteri İlişkisi Yönetimi</t>
  </si>
  <si>
    <t xml:space="preserve">Hedef Skoru</t>
  </si>
  <si>
    <t xml:space="preserve">Yetkinlik Skoru</t>
  </si>
  <si>
    <t xml:space="preserve">Toplam Skor</t>
  </si>
  <si>
    <t xml:space="preserve">Öz-Yönetici Ort. Farkı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</si>
</sst>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dd\.mm\.yyyy"/>
    <numFmt numFmtId="167" formatCode="#,##0"/>
    <numFmt numFmtId="168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0.7</v>
      </c>
      <c r="C5" s="5" t="n">
        <v>0.3</v>
      </c>
    </row>
    <row r="6" customFormat="false" ht="15" hidden="false" customHeight="false" outlineLevel="0" collapsed="false">
      <c r="A6" s="4" t="s">
        <v>6</v>
      </c>
      <c r="B6" s="5" t="n">
        <v>0.7</v>
      </c>
      <c r="C6" s="5" t="n">
        <v>0.3</v>
      </c>
    </row>
    <row r="7" customFormat="false" ht="15" hidden="false" customHeight="false" outlineLevel="0" collapsed="false">
      <c r="A7" s="4" t="s">
        <v>7</v>
      </c>
      <c r="B7" s="5" t="n">
        <v>0.6</v>
      </c>
      <c r="C7" s="5" t="n">
        <v>0.4</v>
      </c>
    </row>
    <row r="8" customFormat="false" ht="15" hidden="false" customHeight="false" outlineLevel="0" collapsed="false">
      <c r="A8" s="4" t="s">
        <v>8</v>
      </c>
      <c r="B8" s="5" t="n">
        <v>0.6</v>
      </c>
      <c r="C8" s="5" t="n">
        <v>0.4</v>
      </c>
    </row>
    <row r="9" customFormat="false" ht="15" hidden="false" customHeight="false" outlineLevel="0" collapsed="false">
      <c r="A9" s="4" t="s">
        <v>9</v>
      </c>
      <c r="B9" s="5" t="n">
        <v>0.6</v>
      </c>
      <c r="C9" s="5" t="n">
        <v>0.4</v>
      </c>
    </row>
    <row r="11" customFormat="false" ht="15" hidden="false" customHeight="false" outlineLevel="0" collapsed="false">
      <c r="A11" s="3" t="s">
        <v>10</v>
      </c>
      <c r="B11" s="3" t="s">
        <v>11</v>
      </c>
      <c r="C11" s="3" t="s">
        <v>12</v>
      </c>
    </row>
    <row r="12" customFormat="false" ht="15" hidden="false" customHeight="false" outlineLevel="0" collapsed="false">
      <c r="A12" s="4" t="s">
        <v>13</v>
      </c>
      <c r="B12" s="4" t="n">
        <v>100</v>
      </c>
      <c r="C12" s="4" t="s">
        <v>14</v>
      </c>
    </row>
    <row r="13" customFormat="false" ht="15" hidden="false" customHeight="false" outlineLevel="0" collapsed="false">
      <c r="A13" s="4" t="s">
        <v>15</v>
      </c>
      <c r="B13" s="4" t="n">
        <v>85</v>
      </c>
      <c r="C13" s="4" t="s">
        <v>16</v>
      </c>
    </row>
    <row r="14" customFormat="false" ht="15" hidden="false" customHeight="false" outlineLevel="0" collapsed="false">
      <c r="A14" s="4" t="s">
        <v>17</v>
      </c>
      <c r="B14" s="4" t="n">
        <v>70</v>
      </c>
      <c r="C14" s="4" t="s">
        <v>18</v>
      </c>
    </row>
    <row r="15" customFormat="false" ht="15" hidden="false" customHeight="false" outlineLevel="0" collapsed="false">
      <c r="A15" s="4" t="s">
        <v>19</v>
      </c>
      <c r="B15" s="4" t="n">
        <v>0</v>
      </c>
      <c r="C15" s="4" t="s">
        <v>20</v>
      </c>
    </row>
    <row r="17" customFormat="false" ht="15" hidden="false" customHeight="false" outlineLevel="0" collapsed="false">
      <c r="A17" s="6" t="s">
        <v>21</v>
      </c>
    </row>
    <row r="18" customFormat="false" ht="15" hidden="false" customHeight="false" outlineLevel="0" collapsed="false">
      <c r="A18" s="6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" t="s">
        <v>23</v>
      </c>
      <c r="B1" s="3" t="s">
        <v>24</v>
      </c>
      <c r="C1" s="3" t="s">
        <v>2</v>
      </c>
      <c r="D1" s="3" t="s">
        <v>25</v>
      </c>
      <c r="E1" s="3" t="s">
        <v>26</v>
      </c>
      <c r="F1" s="3" t="s">
        <v>27</v>
      </c>
      <c r="G1" s="3" t="s">
        <v>28</v>
      </c>
    </row>
    <row r="2" customFormat="false" ht="15" hidden="false" customHeight="false" outlineLevel="0" collapsed="false">
      <c r="A2" s="4" t="s">
        <v>29</v>
      </c>
      <c r="B2" s="4" t="s">
        <v>30</v>
      </c>
      <c r="C2" s="4" t="s">
        <v>9</v>
      </c>
      <c r="D2" s="4" t="s">
        <v>31</v>
      </c>
      <c r="E2" s="4" t="s">
        <v>32</v>
      </c>
      <c r="F2" s="4"/>
      <c r="G2" s="7" t="n">
        <v>41252</v>
      </c>
    </row>
    <row r="3" customFormat="false" ht="15" hidden="false" customHeight="false" outlineLevel="0" collapsed="false">
      <c r="A3" s="4" t="s">
        <v>33</v>
      </c>
      <c r="B3" s="4" t="s">
        <v>34</v>
      </c>
      <c r="C3" s="4" t="s">
        <v>7</v>
      </c>
      <c r="D3" s="4" t="s">
        <v>35</v>
      </c>
      <c r="E3" s="4" t="s">
        <v>36</v>
      </c>
      <c r="F3" s="4" t="s">
        <v>29</v>
      </c>
      <c r="G3" s="7" t="n">
        <v>45172</v>
      </c>
    </row>
    <row r="4" customFormat="false" ht="15" hidden="false" customHeight="false" outlineLevel="0" collapsed="false">
      <c r="A4" s="4" t="s">
        <v>37</v>
      </c>
      <c r="B4" s="4" t="s">
        <v>38</v>
      </c>
      <c r="C4" s="4" t="s">
        <v>5</v>
      </c>
      <c r="D4" s="4" t="s">
        <v>35</v>
      </c>
      <c r="E4" s="4" t="s">
        <v>36</v>
      </c>
      <c r="F4" s="4" t="s">
        <v>33</v>
      </c>
      <c r="G4" s="7" t="n">
        <v>40911</v>
      </c>
    </row>
    <row r="5" customFormat="false" ht="15" hidden="false" customHeight="false" outlineLevel="0" collapsed="false">
      <c r="A5" s="4" t="s">
        <v>39</v>
      </c>
      <c r="B5" s="4" t="s">
        <v>40</v>
      </c>
      <c r="C5" s="4" t="s">
        <v>5</v>
      </c>
      <c r="D5" s="4" t="s">
        <v>35</v>
      </c>
      <c r="E5" s="4" t="s">
        <v>36</v>
      </c>
      <c r="F5" s="4" t="s">
        <v>33</v>
      </c>
      <c r="G5" s="7" t="n">
        <v>42359</v>
      </c>
    </row>
    <row r="6" customFormat="false" ht="15" hidden="false" customHeight="false" outlineLevel="0" collapsed="false">
      <c r="A6" s="4" t="s">
        <v>41</v>
      </c>
      <c r="B6" s="4" t="s">
        <v>42</v>
      </c>
      <c r="C6" s="4" t="s">
        <v>5</v>
      </c>
      <c r="D6" s="4" t="s">
        <v>35</v>
      </c>
      <c r="E6" s="4" t="s">
        <v>36</v>
      </c>
      <c r="F6" s="4" t="s">
        <v>33</v>
      </c>
      <c r="G6" s="7" t="n">
        <v>43205</v>
      </c>
    </row>
    <row r="7" customFormat="false" ht="15" hidden="false" customHeight="false" outlineLevel="0" collapsed="false">
      <c r="A7" s="4" t="s">
        <v>43</v>
      </c>
      <c r="B7" s="4" t="s">
        <v>44</v>
      </c>
      <c r="C7" s="4" t="s">
        <v>5</v>
      </c>
      <c r="D7" s="4" t="s">
        <v>35</v>
      </c>
      <c r="E7" s="4" t="s">
        <v>36</v>
      </c>
      <c r="F7" s="4" t="s">
        <v>33</v>
      </c>
      <c r="G7" s="7" t="n">
        <v>45374</v>
      </c>
    </row>
    <row r="8" customFormat="false" ht="15" hidden="false" customHeight="false" outlineLevel="0" collapsed="false">
      <c r="A8" s="4" t="s">
        <v>45</v>
      </c>
      <c r="B8" s="4" t="s">
        <v>46</v>
      </c>
      <c r="C8" s="4" t="s">
        <v>7</v>
      </c>
      <c r="D8" s="4" t="s">
        <v>47</v>
      </c>
      <c r="E8" s="4" t="s">
        <v>36</v>
      </c>
      <c r="F8" s="4" t="s">
        <v>29</v>
      </c>
      <c r="G8" s="7" t="n">
        <v>42436</v>
      </c>
    </row>
    <row r="9" customFormat="false" ht="15" hidden="false" customHeight="false" outlineLevel="0" collapsed="false">
      <c r="A9" s="4" t="s">
        <v>48</v>
      </c>
      <c r="B9" s="4" t="s">
        <v>49</v>
      </c>
      <c r="C9" s="4" t="s">
        <v>5</v>
      </c>
      <c r="D9" s="4" t="s">
        <v>47</v>
      </c>
      <c r="E9" s="4" t="s">
        <v>36</v>
      </c>
      <c r="F9" s="4" t="s">
        <v>45</v>
      </c>
      <c r="G9" s="7" t="n">
        <v>41453</v>
      </c>
    </row>
    <row r="10" customFormat="false" ht="15" hidden="false" customHeight="false" outlineLevel="0" collapsed="false">
      <c r="A10" s="4" t="s">
        <v>50</v>
      </c>
      <c r="B10" s="4" t="s">
        <v>51</v>
      </c>
      <c r="C10" s="4" t="s">
        <v>5</v>
      </c>
      <c r="D10" s="4" t="s">
        <v>47</v>
      </c>
      <c r="E10" s="4" t="s">
        <v>36</v>
      </c>
      <c r="F10" s="4" t="s">
        <v>45</v>
      </c>
      <c r="G10" s="7" t="n">
        <v>42393</v>
      </c>
    </row>
    <row r="11" customFormat="false" ht="15" hidden="false" customHeight="false" outlineLevel="0" collapsed="false">
      <c r="A11" s="4" t="s">
        <v>52</v>
      </c>
      <c r="B11" s="4" t="s">
        <v>53</v>
      </c>
      <c r="C11" s="4" t="s">
        <v>5</v>
      </c>
      <c r="D11" s="4" t="s">
        <v>47</v>
      </c>
      <c r="E11" s="4" t="s">
        <v>36</v>
      </c>
      <c r="F11" s="4" t="s">
        <v>45</v>
      </c>
      <c r="G11" s="7" t="n">
        <v>43978</v>
      </c>
    </row>
    <row r="12" customFormat="false" ht="15" hidden="false" customHeight="false" outlineLevel="0" collapsed="false">
      <c r="A12" s="4" t="s">
        <v>54</v>
      </c>
      <c r="B12" s="4" t="s">
        <v>55</v>
      </c>
      <c r="C12" s="4" t="s">
        <v>5</v>
      </c>
      <c r="D12" s="4" t="s">
        <v>47</v>
      </c>
      <c r="E12" s="4" t="s">
        <v>36</v>
      </c>
      <c r="F12" s="4" t="s">
        <v>45</v>
      </c>
      <c r="G12" s="7" t="n">
        <v>45827</v>
      </c>
    </row>
    <row r="13" customFormat="false" ht="15" hidden="false" customHeight="false" outlineLevel="0" collapsed="false">
      <c r="A13" s="4" t="s">
        <v>56</v>
      </c>
      <c r="B13" s="4" t="s">
        <v>57</v>
      </c>
      <c r="C13" s="4" t="s">
        <v>7</v>
      </c>
      <c r="D13" s="4" t="s">
        <v>58</v>
      </c>
      <c r="E13" s="4" t="s">
        <v>36</v>
      </c>
      <c r="F13" s="4" t="s">
        <v>29</v>
      </c>
      <c r="G13" s="7" t="n">
        <v>45415</v>
      </c>
    </row>
    <row r="14" customFormat="false" ht="15" hidden="false" customHeight="false" outlineLevel="0" collapsed="false">
      <c r="A14" s="4" t="s">
        <v>59</v>
      </c>
      <c r="B14" s="4" t="s">
        <v>60</v>
      </c>
      <c r="C14" s="4" t="s">
        <v>5</v>
      </c>
      <c r="D14" s="4" t="s">
        <v>58</v>
      </c>
      <c r="E14" s="4" t="s">
        <v>36</v>
      </c>
      <c r="F14" s="4" t="s">
        <v>56</v>
      </c>
      <c r="G14" s="7" t="n">
        <v>41464</v>
      </c>
    </row>
    <row r="15" customFormat="false" ht="15" hidden="false" customHeight="false" outlineLevel="0" collapsed="false">
      <c r="A15" s="4" t="s">
        <v>61</v>
      </c>
      <c r="B15" s="4" t="s">
        <v>62</v>
      </c>
      <c r="C15" s="4" t="s">
        <v>5</v>
      </c>
      <c r="D15" s="4" t="s">
        <v>58</v>
      </c>
      <c r="E15" s="4" t="s">
        <v>36</v>
      </c>
      <c r="F15" s="4" t="s">
        <v>56</v>
      </c>
      <c r="G15" s="7" t="n">
        <v>42847</v>
      </c>
    </row>
    <row r="16" customFormat="false" ht="15" hidden="false" customHeight="false" outlineLevel="0" collapsed="false">
      <c r="A16" s="4" t="s">
        <v>63</v>
      </c>
      <c r="B16" s="4" t="s">
        <v>64</v>
      </c>
      <c r="C16" s="4" t="s">
        <v>5</v>
      </c>
      <c r="D16" s="4" t="s">
        <v>58</v>
      </c>
      <c r="E16" s="4" t="s">
        <v>36</v>
      </c>
      <c r="F16" s="4" t="s">
        <v>56</v>
      </c>
      <c r="G16" s="7" t="n">
        <v>44868</v>
      </c>
    </row>
    <row r="17" customFormat="false" ht="15" hidden="false" customHeight="false" outlineLevel="0" collapsed="false">
      <c r="A17" s="4" t="s">
        <v>65</v>
      </c>
      <c r="B17" s="4" t="s">
        <v>66</v>
      </c>
      <c r="C17" s="4" t="s">
        <v>7</v>
      </c>
      <c r="D17" s="4" t="s">
        <v>67</v>
      </c>
      <c r="E17" s="4" t="s">
        <v>68</v>
      </c>
      <c r="F17" s="4" t="s">
        <v>29</v>
      </c>
      <c r="G17" s="7" t="n">
        <v>41864</v>
      </c>
    </row>
    <row r="18" customFormat="false" ht="15" hidden="false" customHeight="false" outlineLevel="0" collapsed="false">
      <c r="A18" s="4" t="s">
        <v>69</v>
      </c>
      <c r="B18" s="4" t="s">
        <v>70</v>
      </c>
      <c r="C18" s="4" t="s">
        <v>5</v>
      </c>
      <c r="D18" s="4" t="s">
        <v>67</v>
      </c>
      <c r="E18" s="4" t="s">
        <v>68</v>
      </c>
      <c r="F18" s="4" t="s">
        <v>65</v>
      </c>
      <c r="G18" s="7" t="n">
        <v>45177</v>
      </c>
    </row>
    <row r="19" customFormat="false" ht="15" hidden="false" customHeight="false" outlineLevel="0" collapsed="false">
      <c r="A19" s="4" t="s">
        <v>71</v>
      </c>
      <c r="B19" s="4" t="s">
        <v>72</v>
      </c>
      <c r="C19" s="4" t="s">
        <v>5</v>
      </c>
      <c r="D19" s="4" t="s">
        <v>67</v>
      </c>
      <c r="E19" s="4" t="s">
        <v>68</v>
      </c>
      <c r="F19" s="4" t="s">
        <v>65</v>
      </c>
      <c r="G19" s="7" t="n">
        <v>42030</v>
      </c>
    </row>
    <row r="20" customFormat="false" ht="15" hidden="false" customHeight="false" outlineLevel="0" collapsed="false">
      <c r="A20" s="4" t="s">
        <v>73</v>
      </c>
      <c r="B20" s="4" t="s">
        <v>74</v>
      </c>
      <c r="C20" s="4" t="s">
        <v>5</v>
      </c>
      <c r="D20" s="4" t="s">
        <v>67</v>
      </c>
      <c r="E20" s="4" t="s">
        <v>68</v>
      </c>
      <c r="F20" s="4" t="s">
        <v>65</v>
      </c>
      <c r="G20" s="7" t="n">
        <v>42407</v>
      </c>
    </row>
    <row r="21" customFormat="false" ht="15" hidden="false" customHeight="false" outlineLevel="0" collapsed="false">
      <c r="A21" s="4" t="s">
        <v>75</v>
      </c>
      <c r="B21" s="4" t="s">
        <v>76</v>
      </c>
      <c r="C21" s="4" t="s">
        <v>5</v>
      </c>
      <c r="D21" s="4" t="s">
        <v>67</v>
      </c>
      <c r="E21" s="4" t="s">
        <v>68</v>
      </c>
      <c r="F21" s="4" t="s">
        <v>65</v>
      </c>
      <c r="G21" s="7" t="n">
        <v>42324</v>
      </c>
    </row>
    <row r="22" customFormat="false" ht="15" hidden="false" customHeight="false" outlineLevel="0" collapsed="false">
      <c r="A22" s="4" t="s">
        <v>77</v>
      </c>
      <c r="B22" s="4" t="s">
        <v>78</v>
      </c>
      <c r="C22" s="4" t="s">
        <v>7</v>
      </c>
      <c r="D22" s="4" t="s">
        <v>79</v>
      </c>
      <c r="E22" s="4" t="s">
        <v>68</v>
      </c>
      <c r="F22" s="4" t="s">
        <v>29</v>
      </c>
      <c r="G22" s="7" t="n">
        <v>43533</v>
      </c>
    </row>
    <row r="23" customFormat="false" ht="15" hidden="false" customHeight="false" outlineLevel="0" collapsed="false">
      <c r="A23" s="4" t="s">
        <v>80</v>
      </c>
      <c r="B23" s="4" t="s">
        <v>81</v>
      </c>
      <c r="C23" s="4" t="s">
        <v>5</v>
      </c>
      <c r="D23" s="4" t="s">
        <v>79</v>
      </c>
      <c r="E23" s="4" t="s">
        <v>68</v>
      </c>
      <c r="F23" s="4" t="s">
        <v>77</v>
      </c>
      <c r="G23" s="7" t="n">
        <v>45213</v>
      </c>
    </row>
    <row r="24" customFormat="false" ht="15" hidden="false" customHeight="false" outlineLevel="0" collapsed="false">
      <c r="A24" s="4" t="s">
        <v>82</v>
      </c>
      <c r="B24" s="4" t="s">
        <v>83</v>
      </c>
      <c r="C24" s="4" t="s">
        <v>5</v>
      </c>
      <c r="D24" s="4" t="s">
        <v>79</v>
      </c>
      <c r="E24" s="4" t="s">
        <v>68</v>
      </c>
      <c r="F24" s="4" t="s">
        <v>77</v>
      </c>
      <c r="G24" s="7" t="n">
        <v>42830</v>
      </c>
    </row>
    <row r="25" customFormat="false" ht="15" hidden="false" customHeight="false" outlineLevel="0" collapsed="false">
      <c r="A25" s="4" t="s">
        <v>84</v>
      </c>
      <c r="B25" s="4" t="s">
        <v>85</v>
      </c>
      <c r="C25" s="4" t="s">
        <v>5</v>
      </c>
      <c r="D25" s="4" t="s">
        <v>79</v>
      </c>
      <c r="E25" s="4" t="s">
        <v>68</v>
      </c>
      <c r="F25" s="4" t="s">
        <v>77</v>
      </c>
      <c r="G25" s="7" t="n">
        <v>41354</v>
      </c>
    </row>
    <row r="26" customFormat="false" ht="15" hidden="false" customHeight="false" outlineLevel="0" collapsed="false">
      <c r="A26" s="4" t="s">
        <v>86</v>
      </c>
      <c r="B26" s="4" t="s">
        <v>87</v>
      </c>
      <c r="C26" s="4" t="s">
        <v>7</v>
      </c>
      <c r="D26" s="4" t="s">
        <v>88</v>
      </c>
      <c r="E26" s="4" t="s">
        <v>68</v>
      </c>
      <c r="F26" s="4" t="s">
        <v>29</v>
      </c>
      <c r="G26" s="7" t="n">
        <v>44762</v>
      </c>
    </row>
    <row r="27" customFormat="false" ht="15" hidden="false" customHeight="false" outlineLevel="0" collapsed="false">
      <c r="A27" s="4" t="s">
        <v>89</v>
      </c>
      <c r="B27" s="4" t="s">
        <v>90</v>
      </c>
      <c r="C27" s="4" t="s">
        <v>5</v>
      </c>
      <c r="D27" s="4" t="s">
        <v>88</v>
      </c>
      <c r="E27" s="4" t="s">
        <v>68</v>
      </c>
      <c r="F27" s="4" t="s">
        <v>86</v>
      </c>
      <c r="G27" s="7" t="n">
        <v>42641</v>
      </c>
    </row>
    <row r="28" customFormat="false" ht="15" hidden="false" customHeight="false" outlineLevel="0" collapsed="false">
      <c r="A28" s="4" t="s">
        <v>91</v>
      </c>
      <c r="B28" s="4" t="s">
        <v>92</v>
      </c>
      <c r="C28" s="4" t="s">
        <v>5</v>
      </c>
      <c r="D28" s="4" t="s">
        <v>88</v>
      </c>
      <c r="E28" s="4" t="s">
        <v>68</v>
      </c>
      <c r="F28" s="4" t="s">
        <v>86</v>
      </c>
      <c r="G28" s="7" t="n">
        <v>44979</v>
      </c>
    </row>
    <row r="29" customFormat="false" ht="15" hidden="false" customHeight="false" outlineLevel="0" collapsed="false">
      <c r="A29" s="4" t="s">
        <v>93</v>
      </c>
      <c r="B29" s="4" t="s">
        <v>94</v>
      </c>
      <c r="C29" s="4" t="s">
        <v>5</v>
      </c>
      <c r="D29" s="4" t="s">
        <v>88</v>
      </c>
      <c r="E29" s="4" t="s">
        <v>68</v>
      </c>
      <c r="F29" s="4" t="s">
        <v>86</v>
      </c>
      <c r="G29" s="7" t="n">
        <v>42776</v>
      </c>
    </row>
    <row r="30" customFormat="false" ht="15" hidden="false" customHeight="false" outlineLevel="0" collapsed="false">
      <c r="A30" s="4" t="s">
        <v>95</v>
      </c>
      <c r="B30" s="4" t="s">
        <v>96</v>
      </c>
      <c r="C30" s="4" t="s">
        <v>7</v>
      </c>
      <c r="D30" s="4" t="s">
        <v>97</v>
      </c>
      <c r="E30" s="4" t="s">
        <v>98</v>
      </c>
      <c r="F30" s="4" t="s">
        <v>29</v>
      </c>
      <c r="G30" s="7" t="n">
        <v>43489</v>
      </c>
    </row>
    <row r="31" customFormat="false" ht="15" hidden="false" customHeight="false" outlineLevel="0" collapsed="false">
      <c r="A31" s="4" t="s">
        <v>99</v>
      </c>
      <c r="B31" s="4" t="s">
        <v>100</v>
      </c>
      <c r="C31" s="4" t="s">
        <v>5</v>
      </c>
      <c r="D31" s="4" t="s">
        <v>97</v>
      </c>
      <c r="E31" s="4" t="s">
        <v>98</v>
      </c>
      <c r="F31" s="4" t="s">
        <v>95</v>
      </c>
      <c r="G31" s="7" t="n">
        <v>41886</v>
      </c>
    </row>
    <row r="32" customFormat="false" ht="15" hidden="false" customHeight="false" outlineLevel="0" collapsed="false">
      <c r="A32" s="4" t="s">
        <v>101</v>
      </c>
      <c r="B32" s="4" t="s">
        <v>102</v>
      </c>
      <c r="C32" s="4" t="s">
        <v>5</v>
      </c>
      <c r="D32" s="4" t="s">
        <v>97</v>
      </c>
      <c r="E32" s="4" t="s">
        <v>98</v>
      </c>
      <c r="F32" s="4" t="s">
        <v>95</v>
      </c>
      <c r="G32" s="7" t="n">
        <v>45978</v>
      </c>
    </row>
    <row r="33" customFormat="false" ht="15" hidden="false" customHeight="false" outlineLevel="0" collapsed="false">
      <c r="A33" s="4" t="s">
        <v>103</v>
      </c>
      <c r="B33" s="4" t="s">
        <v>104</v>
      </c>
      <c r="C33" s="4" t="s">
        <v>5</v>
      </c>
      <c r="D33" s="4" t="s">
        <v>97</v>
      </c>
      <c r="E33" s="4" t="s">
        <v>98</v>
      </c>
      <c r="F33" s="4" t="s">
        <v>95</v>
      </c>
      <c r="G33" s="7" t="n">
        <v>44075</v>
      </c>
    </row>
    <row r="34" customFormat="false" ht="15" hidden="false" customHeight="false" outlineLevel="0" collapsed="false">
      <c r="A34" s="4" t="s">
        <v>105</v>
      </c>
      <c r="B34" s="4" t="s">
        <v>106</v>
      </c>
      <c r="C34" s="4" t="s">
        <v>5</v>
      </c>
      <c r="D34" s="4" t="s">
        <v>97</v>
      </c>
      <c r="E34" s="4" t="s">
        <v>98</v>
      </c>
      <c r="F34" s="4" t="s">
        <v>95</v>
      </c>
      <c r="G34" s="7" t="n">
        <v>43469</v>
      </c>
    </row>
    <row r="35" customFormat="false" ht="15" hidden="false" customHeight="false" outlineLevel="0" collapsed="false">
      <c r="A35" s="4" t="s">
        <v>107</v>
      </c>
      <c r="B35" s="4" t="s">
        <v>108</v>
      </c>
      <c r="C35" s="4" t="s">
        <v>7</v>
      </c>
      <c r="D35" s="4" t="s">
        <v>109</v>
      </c>
      <c r="E35" s="4" t="s">
        <v>98</v>
      </c>
      <c r="F35" s="4" t="s">
        <v>29</v>
      </c>
      <c r="G35" s="7" t="n">
        <v>42012</v>
      </c>
    </row>
    <row r="36" customFormat="false" ht="15" hidden="false" customHeight="false" outlineLevel="0" collapsed="false">
      <c r="A36" s="4" t="s">
        <v>110</v>
      </c>
      <c r="B36" s="4" t="s">
        <v>111</v>
      </c>
      <c r="C36" s="4" t="s">
        <v>5</v>
      </c>
      <c r="D36" s="4" t="s">
        <v>109</v>
      </c>
      <c r="E36" s="4" t="s">
        <v>98</v>
      </c>
      <c r="F36" s="4" t="s">
        <v>107</v>
      </c>
      <c r="G36" s="7" t="n">
        <v>41624</v>
      </c>
    </row>
    <row r="37" customFormat="false" ht="15" hidden="false" customHeight="false" outlineLevel="0" collapsed="false">
      <c r="A37" s="4" t="s">
        <v>112</v>
      </c>
      <c r="B37" s="4" t="s">
        <v>113</v>
      </c>
      <c r="C37" s="4" t="s">
        <v>5</v>
      </c>
      <c r="D37" s="4" t="s">
        <v>109</v>
      </c>
      <c r="E37" s="4" t="s">
        <v>98</v>
      </c>
      <c r="F37" s="4" t="s">
        <v>107</v>
      </c>
      <c r="G37" s="7" t="n">
        <v>41720</v>
      </c>
    </row>
    <row r="38" customFormat="false" ht="15" hidden="false" customHeight="false" outlineLevel="0" collapsed="false">
      <c r="A38" s="4" t="s">
        <v>114</v>
      </c>
      <c r="B38" s="4" t="s">
        <v>115</v>
      </c>
      <c r="C38" s="4" t="s">
        <v>5</v>
      </c>
      <c r="D38" s="4" t="s">
        <v>109</v>
      </c>
      <c r="E38" s="4" t="s">
        <v>98</v>
      </c>
      <c r="F38" s="4" t="s">
        <v>107</v>
      </c>
      <c r="G38" s="7" t="n">
        <v>41776</v>
      </c>
    </row>
    <row r="39" customFormat="false" ht="15" hidden="false" customHeight="false" outlineLevel="0" collapsed="false">
      <c r="A39" s="4" t="s">
        <v>116</v>
      </c>
      <c r="B39" s="4" t="s">
        <v>117</v>
      </c>
      <c r="C39" s="4" t="s">
        <v>7</v>
      </c>
      <c r="D39" s="4" t="s">
        <v>118</v>
      </c>
      <c r="E39" s="4" t="s">
        <v>119</v>
      </c>
      <c r="F39" s="4" t="s">
        <v>29</v>
      </c>
      <c r="G39" s="7" t="n">
        <v>45649</v>
      </c>
    </row>
    <row r="40" customFormat="false" ht="15" hidden="false" customHeight="false" outlineLevel="0" collapsed="false">
      <c r="A40" s="4" t="s">
        <v>120</v>
      </c>
      <c r="B40" s="4" t="s">
        <v>121</v>
      </c>
      <c r="C40" s="4" t="s">
        <v>5</v>
      </c>
      <c r="D40" s="4" t="s">
        <v>118</v>
      </c>
      <c r="E40" s="4" t="s">
        <v>119</v>
      </c>
      <c r="F40" s="4" t="s">
        <v>116</v>
      </c>
      <c r="G40" s="7" t="n">
        <v>42573</v>
      </c>
    </row>
    <row r="41" customFormat="false" ht="15" hidden="false" customHeight="false" outlineLevel="0" collapsed="false">
      <c r="A41" s="4" t="s">
        <v>122</v>
      </c>
      <c r="B41" s="4" t="s">
        <v>123</v>
      </c>
      <c r="C41" s="4" t="s">
        <v>5</v>
      </c>
      <c r="D41" s="4" t="s">
        <v>118</v>
      </c>
      <c r="E41" s="4" t="s">
        <v>119</v>
      </c>
      <c r="F41" s="4" t="s">
        <v>116</v>
      </c>
      <c r="G41" s="7" t="n">
        <v>41372</v>
      </c>
    </row>
    <row r="42" customFormat="false" ht="15" hidden="false" customHeight="false" outlineLevel="0" collapsed="false">
      <c r="A42" s="4" t="s">
        <v>124</v>
      </c>
      <c r="B42" s="4" t="s">
        <v>125</v>
      </c>
      <c r="C42" s="4" t="s">
        <v>5</v>
      </c>
      <c r="D42" s="4" t="s">
        <v>118</v>
      </c>
      <c r="E42" s="4" t="s">
        <v>119</v>
      </c>
      <c r="F42" s="4" t="s">
        <v>116</v>
      </c>
      <c r="G42" s="7" t="n">
        <v>41200</v>
      </c>
    </row>
    <row r="43" customFormat="false" ht="15" hidden="false" customHeight="false" outlineLevel="0" collapsed="false">
      <c r="A43" s="4" t="s">
        <v>126</v>
      </c>
      <c r="B43" s="4" t="s">
        <v>127</v>
      </c>
      <c r="C43" s="4" t="s">
        <v>5</v>
      </c>
      <c r="D43" s="4" t="s">
        <v>118</v>
      </c>
      <c r="E43" s="4" t="s">
        <v>119</v>
      </c>
      <c r="F43" s="4" t="s">
        <v>116</v>
      </c>
      <c r="G43" s="7" t="n">
        <v>44569</v>
      </c>
    </row>
    <row r="44" customFormat="false" ht="15" hidden="false" customHeight="false" outlineLevel="0" collapsed="false">
      <c r="A44" s="4" t="s">
        <v>128</v>
      </c>
      <c r="B44" s="4" t="s">
        <v>129</v>
      </c>
      <c r="C44" s="4" t="s">
        <v>7</v>
      </c>
      <c r="D44" s="4" t="s">
        <v>130</v>
      </c>
      <c r="E44" s="4" t="s">
        <v>119</v>
      </c>
      <c r="F44" s="4" t="s">
        <v>29</v>
      </c>
      <c r="G44" s="7" t="n">
        <v>45811</v>
      </c>
    </row>
    <row r="45" customFormat="false" ht="15" hidden="false" customHeight="false" outlineLevel="0" collapsed="false">
      <c r="A45" s="4" t="s">
        <v>131</v>
      </c>
      <c r="B45" s="4" t="s">
        <v>132</v>
      </c>
      <c r="C45" s="4" t="s">
        <v>5</v>
      </c>
      <c r="D45" s="4" t="s">
        <v>130</v>
      </c>
      <c r="E45" s="4" t="s">
        <v>119</v>
      </c>
      <c r="F45" s="4" t="s">
        <v>128</v>
      </c>
      <c r="G45" s="7" t="n">
        <v>43914</v>
      </c>
    </row>
    <row r="46" customFormat="false" ht="15" hidden="false" customHeight="false" outlineLevel="0" collapsed="false">
      <c r="A46" s="4" t="s">
        <v>133</v>
      </c>
      <c r="B46" s="4" t="s">
        <v>134</v>
      </c>
      <c r="C46" s="4" t="s">
        <v>5</v>
      </c>
      <c r="D46" s="4" t="s">
        <v>130</v>
      </c>
      <c r="E46" s="4" t="s">
        <v>119</v>
      </c>
      <c r="F46" s="4" t="s">
        <v>128</v>
      </c>
      <c r="G46" s="7" t="n">
        <v>43581</v>
      </c>
    </row>
    <row r="47" customFormat="false" ht="15" hidden="false" customHeight="false" outlineLevel="0" collapsed="false">
      <c r="A47" s="4" t="s">
        <v>135</v>
      </c>
      <c r="B47" s="4" t="s">
        <v>136</v>
      </c>
      <c r="C47" s="4" t="s">
        <v>5</v>
      </c>
      <c r="D47" s="4" t="s">
        <v>130</v>
      </c>
      <c r="E47" s="4" t="s">
        <v>119</v>
      </c>
      <c r="F47" s="4" t="s">
        <v>128</v>
      </c>
      <c r="G47" s="7" t="n">
        <v>44754</v>
      </c>
    </row>
    <row r="48" customFormat="false" ht="15" hidden="false" customHeight="false" outlineLevel="0" collapsed="false">
      <c r="A48" s="4" t="s">
        <v>137</v>
      </c>
      <c r="B48" s="4" t="s">
        <v>138</v>
      </c>
      <c r="C48" s="4" t="s">
        <v>8</v>
      </c>
      <c r="D48" s="4" t="s">
        <v>139</v>
      </c>
      <c r="E48" s="4" t="s">
        <v>32</v>
      </c>
      <c r="F48" s="4" t="s">
        <v>29</v>
      </c>
      <c r="G48" s="7" t="n">
        <v>43801</v>
      </c>
    </row>
    <row r="49" customFormat="false" ht="15" hidden="false" customHeight="false" outlineLevel="0" collapsed="false">
      <c r="A49" s="4" t="s">
        <v>140</v>
      </c>
      <c r="B49" s="4" t="s">
        <v>141</v>
      </c>
      <c r="C49" s="4" t="s">
        <v>6</v>
      </c>
      <c r="D49" s="4" t="s">
        <v>139</v>
      </c>
      <c r="E49" s="4" t="s">
        <v>32</v>
      </c>
      <c r="F49" s="4" t="s">
        <v>137</v>
      </c>
      <c r="G49" s="7" t="n">
        <v>44594</v>
      </c>
    </row>
    <row r="50" customFormat="false" ht="15" hidden="false" customHeight="false" outlineLevel="0" collapsed="false">
      <c r="A50" s="4" t="s">
        <v>142</v>
      </c>
      <c r="B50" s="4" t="s">
        <v>143</v>
      </c>
      <c r="C50" s="4" t="s">
        <v>6</v>
      </c>
      <c r="D50" s="4" t="s">
        <v>139</v>
      </c>
      <c r="E50" s="4" t="s">
        <v>32</v>
      </c>
      <c r="F50" s="4" t="s">
        <v>137</v>
      </c>
      <c r="G50" s="7" t="n">
        <v>42112</v>
      </c>
    </row>
    <row r="51" customFormat="false" ht="15" hidden="false" customHeight="false" outlineLevel="0" collapsed="false">
      <c r="A51" s="4" t="s">
        <v>144</v>
      </c>
      <c r="B51" s="4" t="s">
        <v>145</v>
      </c>
      <c r="C51" s="4" t="s">
        <v>6</v>
      </c>
      <c r="D51" s="4" t="s">
        <v>139</v>
      </c>
      <c r="E51" s="4" t="s">
        <v>32</v>
      </c>
      <c r="F51" s="4" t="s">
        <v>137</v>
      </c>
      <c r="G51" s="7" t="n">
        <v>43168</v>
      </c>
    </row>
    <row r="52" customFormat="false" ht="15" hidden="false" customHeight="false" outlineLevel="0" collapsed="false">
      <c r="A52" s="4" t="s">
        <v>146</v>
      </c>
      <c r="B52" s="4" t="s">
        <v>147</v>
      </c>
      <c r="C52" s="4" t="s">
        <v>6</v>
      </c>
      <c r="D52" s="4" t="s">
        <v>139</v>
      </c>
      <c r="E52" s="4" t="s">
        <v>32</v>
      </c>
      <c r="F52" s="4" t="s">
        <v>137</v>
      </c>
      <c r="G52" s="7" t="n">
        <v>45539</v>
      </c>
    </row>
    <row r="53" customFormat="false" ht="15" hidden="false" customHeight="false" outlineLevel="0" collapsed="false">
      <c r="A53" s="4" t="s">
        <v>148</v>
      </c>
      <c r="B53" s="4" t="s">
        <v>149</v>
      </c>
      <c r="C53" s="4" t="s">
        <v>6</v>
      </c>
      <c r="D53" s="4" t="s">
        <v>139</v>
      </c>
      <c r="E53" s="4" t="s">
        <v>32</v>
      </c>
      <c r="F53" s="4" t="s">
        <v>137</v>
      </c>
      <c r="G53" s="7" t="n">
        <v>43833</v>
      </c>
    </row>
    <row r="54" customFormat="false" ht="15" hidden="false" customHeight="false" outlineLevel="0" collapsed="false">
      <c r="A54" s="4" t="s">
        <v>150</v>
      </c>
      <c r="B54" s="4" t="s">
        <v>151</v>
      </c>
      <c r="C54" s="4" t="s">
        <v>6</v>
      </c>
      <c r="D54" s="4" t="s">
        <v>139</v>
      </c>
      <c r="E54" s="4" t="s">
        <v>32</v>
      </c>
      <c r="F54" s="4" t="s">
        <v>137</v>
      </c>
      <c r="G54" s="7" t="n">
        <v>43684</v>
      </c>
    </row>
    <row r="55" customFormat="false" ht="15" hidden="false" customHeight="false" outlineLevel="0" collapsed="false">
      <c r="A55" s="4" t="s">
        <v>152</v>
      </c>
      <c r="B55" s="4" t="s">
        <v>153</v>
      </c>
      <c r="C55" s="4" t="s">
        <v>6</v>
      </c>
      <c r="D55" s="4" t="s">
        <v>139</v>
      </c>
      <c r="E55" s="4" t="s">
        <v>32</v>
      </c>
      <c r="F55" s="4" t="s">
        <v>137</v>
      </c>
      <c r="G55" s="7" t="n">
        <v>41821</v>
      </c>
    </row>
    <row r="56" customFormat="false" ht="15" hidden="false" customHeight="false" outlineLevel="0" collapsed="false">
      <c r="A56" s="4" t="s">
        <v>154</v>
      </c>
      <c r="B56" s="4" t="s">
        <v>155</v>
      </c>
      <c r="C56" s="4" t="s">
        <v>6</v>
      </c>
      <c r="D56" s="4" t="s">
        <v>139</v>
      </c>
      <c r="E56" s="4" t="s">
        <v>32</v>
      </c>
      <c r="F56" s="4" t="s">
        <v>137</v>
      </c>
      <c r="G56" s="7" t="n">
        <v>43599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10" min="9" style="0" width="13"/>
    <col collapsed="false" customWidth="true" hidden="false" outlineLevel="0" max="11" min="11" style="0" width="14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3" t="s">
        <v>23</v>
      </c>
      <c r="B1" s="3" t="s">
        <v>24</v>
      </c>
      <c r="C1" s="3" t="s">
        <v>2</v>
      </c>
      <c r="D1" s="3" t="s">
        <v>25</v>
      </c>
      <c r="E1" s="3" t="s">
        <v>26</v>
      </c>
      <c r="F1" s="3" t="s">
        <v>156</v>
      </c>
      <c r="G1" s="3" t="s">
        <v>157</v>
      </c>
      <c r="H1" s="3" t="s">
        <v>158</v>
      </c>
      <c r="I1" s="3" t="s">
        <v>159</v>
      </c>
      <c r="J1" s="3" t="s">
        <v>160</v>
      </c>
      <c r="K1" s="3" t="s">
        <v>161</v>
      </c>
      <c r="L1" s="3" t="s">
        <v>162</v>
      </c>
    </row>
    <row r="2" customFormat="false" ht="15" hidden="false" customHeight="false" outlineLevel="0" collapsed="false">
      <c r="A2" s="4" t="s">
        <v>29</v>
      </c>
      <c r="B2" s="4" t="s">
        <v>30</v>
      </c>
      <c r="C2" s="4" t="s">
        <v>9</v>
      </c>
      <c r="D2" s="4" t="s">
        <v>31</v>
      </c>
      <c r="E2" s="4" t="s">
        <v>32</v>
      </c>
      <c r="F2" s="4" t="s">
        <v>163</v>
      </c>
      <c r="G2" s="4" t="n">
        <v>40</v>
      </c>
      <c r="H2" s="4" t="s">
        <v>164</v>
      </c>
      <c r="I2" s="8" t="n">
        <v>187100000</v>
      </c>
      <c r="J2" s="8" t="n">
        <v>200040000</v>
      </c>
      <c r="K2" s="9" t="n">
        <f aca="false">MIN(120,J2/I2*100)</f>
        <v>106.916087653661</v>
      </c>
      <c r="L2" s="9" t="n">
        <f aca="false">K2*G2/100</f>
        <v>42.7664350614645</v>
      </c>
    </row>
    <row r="3" customFormat="false" ht="15" hidden="false" customHeight="false" outlineLevel="0" collapsed="false">
      <c r="A3" s="4" t="s">
        <v>29</v>
      </c>
      <c r="B3" s="4" t="s">
        <v>30</v>
      </c>
      <c r="C3" s="4" t="s">
        <v>9</v>
      </c>
      <c r="D3" s="4" t="s">
        <v>31</v>
      </c>
      <c r="E3" s="4" t="s">
        <v>32</v>
      </c>
      <c r="F3" s="4" t="s">
        <v>165</v>
      </c>
      <c r="G3" s="4" t="n">
        <v>20</v>
      </c>
      <c r="H3" s="4" t="s">
        <v>166</v>
      </c>
      <c r="I3" s="8" t="n">
        <v>12680</v>
      </c>
      <c r="J3" s="8" t="n">
        <v>13296</v>
      </c>
      <c r="K3" s="9" t="n">
        <f aca="false">MIN(120,J3/I3*100)</f>
        <v>104.858044164038</v>
      </c>
      <c r="L3" s="9" t="n">
        <f aca="false">K3*G3/100</f>
        <v>20.9716088328076</v>
      </c>
    </row>
    <row r="4" customFormat="false" ht="15" hidden="false" customHeight="false" outlineLevel="0" collapsed="false">
      <c r="A4" s="4" t="s">
        <v>29</v>
      </c>
      <c r="B4" s="4" t="s">
        <v>30</v>
      </c>
      <c r="C4" s="4" t="s">
        <v>9</v>
      </c>
      <c r="D4" s="4" t="s">
        <v>31</v>
      </c>
      <c r="E4" s="4" t="s">
        <v>32</v>
      </c>
      <c r="F4" s="4" t="s">
        <v>167</v>
      </c>
      <c r="G4" s="4" t="n">
        <v>20</v>
      </c>
      <c r="H4" s="4" t="s">
        <v>168</v>
      </c>
      <c r="I4" s="8" t="n">
        <v>60</v>
      </c>
      <c r="J4" s="8" t="n">
        <v>54.4</v>
      </c>
      <c r="K4" s="9" t="n">
        <f aca="false">MIN(120,J4/I4*100)</f>
        <v>90.6666666666667</v>
      </c>
      <c r="L4" s="9" t="n">
        <f aca="false">K4*G4/100</f>
        <v>18.1333333333333</v>
      </c>
    </row>
    <row r="5" customFormat="false" ht="15" hidden="false" customHeight="false" outlineLevel="0" collapsed="false">
      <c r="A5" s="4" t="s">
        <v>29</v>
      </c>
      <c r="B5" s="4" t="s">
        <v>30</v>
      </c>
      <c r="C5" s="4" t="s">
        <v>9</v>
      </c>
      <c r="D5" s="4" t="s">
        <v>31</v>
      </c>
      <c r="E5" s="4" t="s">
        <v>32</v>
      </c>
      <c r="F5" s="4" t="s">
        <v>169</v>
      </c>
      <c r="G5" s="4" t="n">
        <v>20</v>
      </c>
      <c r="H5" s="4" t="s">
        <v>170</v>
      </c>
      <c r="I5" s="8" t="n">
        <v>80</v>
      </c>
      <c r="J5" s="8" t="n">
        <v>69.4</v>
      </c>
      <c r="K5" s="9" t="n">
        <f aca="false">MIN(120,J5/I5*100)</f>
        <v>86.75</v>
      </c>
      <c r="L5" s="9" t="n">
        <f aca="false">K5*G5/100</f>
        <v>17.35</v>
      </c>
    </row>
    <row r="6" customFormat="false" ht="15" hidden="false" customHeight="false" outlineLevel="0" collapsed="false">
      <c r="A6" s="4" t="s">
        <v>33</v>
      </c>
      <c r="B6" s="4" t="s">
        <v>34</v>
      </c>
      <c r="C6" s="4" t="s">
        <v>7</v>
      </c>
      <c r="D6" s="4" t="s">
        <v>35</v>
      </c>
      <c r="E6" s="4" t="s">
        <v>36</v>
      </c>
      <c r="F6" s="4" t="s">
        <v>171</v>
      </c>
      <c r="G6" s="4" t="n">
        <v>35</v>
      </c>
      <c r="H6" s="4" t="s">
        <v>164</v>
      </c>
      <c r="I6" s="8" t="n">
        <v>18800000</v>
      </c>
      <c r="J6" s="8" t="n">
        <v>14400000</v>
      </c>
      <c r="K6" s="9" t="n">
        <f aca="false">MIN(120,J6/I6*100)</f>
        <v>76.5957446808511</v>
      </c>
      <c r="L6" s="9" t="n">
        <f aca="false">K6*G6/100</f>
        <v>26.8085106382979</v>
      </c>
    </row>
    <row r="7" customFormat="false" ht="15" hidden="false" customHeight="false" outlineLevel="0" collapsed="false">
      <c r="A7" s="4" t="s">
        <v>33</v>
      </c>
      <c r="B7" s="4" t="s">
        <v>34</v>
      </c>
      <c r="C7" s="4" t="s">
        <v>7</v>
      </c>
      <c r="D7" s="4" t="s">
        <v>35</v>
      </c>
      <c r="E7" s="4" t="s">
        <v>36</v>
      </c>
      <c r="F7" s="4" t="s">
        <v>172</v>
      </c>
      <c r="G7" s="4" t="n">
        <v>20</v>
      </c>
      <c r="H7" s="4" t="s">
        <v>168</v>
      </c>
      <c r="I7" s="8" t="n">
        <v>82</v>
      </c>
      <c r="J7" s="8" t="n">
        <v>62.6</v>
      </c>
      <c r="K7" s="9" t="n">
        <f aca="false">MIN(120,J7/I7*100)</f>
        <v>76.3414634146342</v>
      </c>
      <c r="L7" s="9" t="n">
        <f aca="false">K7*G7/100</f>
        <v>15.2682926829268</v>
      </c>
    </row>
    <row r="8" customFormat="false" ht="15" hidden="false" customHeight="false" outlineLevel="0" collapsed="false">
      <c r="A8" s="4" t="s">
        <v>33</v>
      </c>
      <c r="B8" s="4" t="s">
        <v>34</v>
      </c>
      <c r="C8" s="4" t="s">
        <v>7</v>
      </c>
      <c r="D8" s="4" t="s">
        <v>35</v>
      </c>
      <c r="E8" s="4" t="s">
        <v>36</v>
      </c>
      <c r="F8" s="4" t="s">
        <v>173</v>
      </c>
      <c r="G8" s="4" t="n">
        <v>20</v>
      </c>
      <c r="H8" s="4" t="s">
        <v>168</v>
      </c>
      <c r="I8" s="8" t="n">
        <v>60</v>
      </c>
      <c r="J8" s="8" t="n">
        <v>59.6</v>
      </c>
      <c r="K8" s="9" t="n">
        <f aca="false">MIN(120,J8/I8*100)</f>
        <v>99.3333333333333</v>
      </c>
      <c r="L8" s="9" t="n">
        <f aca="false">K8*G8/100</f>
        <v>19.8666666666667</v>
      </c>
    </row>
    <row r="9" customFormat="false" ht="15" hidden="false" customHeight="false" outlineLevel="0" collapsed="false">
      <c r="A9" s="4" t="s">
        <v>33</v>
      </c>
      <c r="B9" s="4" t="s">
        <v>34</v>
      </c>
      <c r="C9" s="4" t="s">
        <v>7</v>
      </c>
      <c r="D9" s="4" t="s">
        <v>35</v>
      </c>
      <c r="E9" s="4" t="s">
        <v>36</v>
      </c>
      <c r="F9" s="4" t="s">
        <v>174</v>
      </c>
      <c r="G9" s="4" t="n">
        <v>15</v>
      </c>
      <c r="H9" s="4" t="s">
        <v>170</v>
      </c>
      <c r="I9" s="8" t="n">
        <v>86</v>
      </c>
      <c r="J9" s="8" t="n">
        <v>65.8</v>
      </c>
      <c r="K9" s="9" t="n">
        <f aca="false">MIN(120,J9/I9*100)</f>
        <v>76.5116279069767</v>
      </c>
      <c r="L9" s="9" t="n">
        <f aca="false">K9*G9/100</f>
        <v>11.4767441860465</v>
      </c>
    </row>
    <row r="10" customFormat="false" ht="15" hidden="false" customHeight="false" outlineLevel="0" collapsed="false">
      <c r="A10" s="4" t="s">
        <v>33</v>
      </c>
      <c r="B10" s="4" t="s">
        <v>34</v>
      </c>
      <c r="C10" s="4" t="s">
        <v>7</v>
      </c>
      <c r="D10" s="4" t="s">
        <v>35</v>
      </c>
      <c r="E10" s="4" t="s">
        <v>36</v>
      </c>
      <c r="F10" s="4" t="s">
        <v>175</v>
      </c>
      <c r="G10" s="4" t="n">
        <v>10</v>
      </c>
      <c r="H10" s="4" t="s">
        <v>168</v>
      </c>
      <c r="I10" s="8" t="n">
        <v>70</v>
      </c>
      <c r="J10" s="8" t="n">
        <v>68.3</v>
      </c>
      <c r="K10" s="9" t="n">
        <f aca="false">MIN(120,J10/I10*100)</f>
        <v>97.5714285714286</v>
      </c>
      <c r="L10" s="9" t="n">
        <f aca="false">K10*G10/100</f>
        <v>9.75714285714286</v>
      </c>
    </row>
    <row r="11" customFormat="false" ht="15" hidden="false" customHeight="false" outlineLevel="0" collapsed="false">
      <c r="A11" s="4" t="s">
        <v>37</v>
      </c>
      <c r="B11" s="4" t="s">
        <v>38</v>
      </c>
      <c r="C11" s="4" t="s">
        <v>5</v>
      </c>
      <c r="D11" s="4" t="s">
        <v>35</v>
      </c>
      <c r="E11" s="4" t="s">
        <v>36</v>
      </c>
      <c r="F11" s="4" t="s">
        <v>176</v>
      </c>
      <c r="G11" s="4" t="n">
        <v>30</v>
      </c>
      <c r="H11" s="4" t="s">
        <v>164</v>
      </c>
      <c r="I11" s="8" t="n">
        <v>4100000</v>
      </c>
      <c r="J11" s="8" t="n">
        <v>3330000</v>
      </c>
      <c r="K11" s="9" t="n">
        <f aca="false">MIN(120,J11/I11*100)</f>
        <v>81.219512195122</v>
      </c>
      <c r="L11" s="9" t="n">
        <f aca="false">K11*G11/100</f>
        <v>24.3658536585366</v>
      </c>
    </row>
    <row r="12" customFormat="false" ht="15" hidden="false" customHeight="false" outlineLevel="0" collapsed="false">
      <c r="A12" s="4" t="s">
        <v>37</v>
      </c>
      <c r="B12" s="4" t="s">
        <v>38</v>
      </c>
      <c r="C12" s="4" t="s">
        <v>5</v>
      </c>
      <c r="D12" s="4" t="s">
        <v>35</v>
      </c>
      <c r="E12" s="4" t="s">
        <v>36</v>
      </c>
      <c r="F12" s="4" t="s">
        <v>177</v>
      </c>
      <c r="G12" s="4" t="n">
        <v>15</v>
      </c>
      <c r="H12" s="4" t="s">
        <v>170</v>
      </c>
      <c r="I12" s="8" t="n">
        <v>34</v>
      </c>
      <c r="J12" s="8" t="n">
        <v>30.8</v>
      </c>
      <c r="K12" s="9" t="n">
        <f aca="false">MIN(120,J12/I12*100)</f>
        <v>90.5882352941177</v>
      </c>
      <c r="L12" s="9" t="n">
        <f aca="false">K12*G12/100</f>
        <v>13.5882352941176</v>
      </c>
    </row>
    <row r="13" customFormat="false" ht="15" hidden="false" customHeight="false" outlineLevel="0" collapsed="false">
      <c r="A13" s="4" t="s">
        <v>37</v>
      </c>
      <c r="B13" s="4" t="s">
        <v>38</v>
      </c>
      <c r="C13" s="4" t="s">
        <v>5</v>
      </c>
      <c r="D13" s="4" t="s">
        <v>35</v>
      </c>
      <c r="E13" s="4" t="s">
        <v>36</v>
      </c>
      <c r="F13" s="4" t="s">
        <v>178</v>
      </c>
      <c r="G13" s="4" t="n">
        <v>15</v>
      </c>
      <c r="H13" s="4" t="s">
        <v>166</v>
      </c>
      <c r="I13" s="8" t="n">
        <v>260</v>
      </c>
      <c r="J13" s="8" t="n">
        <v>247</v>
      </c>
      <c r="K13" s="9" t="n">
        <f aca="false">MIN(120,J13/I13*100)</f>
        <v>95</v>
      </c>
      <c r="L13" s="9" t="n">
        <f aca="false">K13*G13/100</f>
        <v>14.25</v>
      </c>
    </row>
    <row r="14" customFormat="false" ht="15" hidden="false" customHeight="false" outlineLevel="0" collapsed="false">
      <c r="A14" s="4" t="s">
        <v>37</v>
      </c>
      <c r="B14" s="4" t="s">
        <v>38</v>
      </c>
      <c r="C14" s="4" t="s">
        <v>5</v>
      </c>
      <c r="D14" s="4" t="s">
        <v>35</v>
      </c>
      <c r="E14" s="4" t="s">
        <v>36</v>
      </c>
      <c r="F14" s="4" t="s">
        <v>179</v>
      </c>
      <c r="G14" s="4" t="n">
        <v>20</v>
      </c>
      <c r="H14" s="4" t="s">
        <v>168</v>
      </c>
      <c r="I14" s="8" t="n">
        <v>61</v>
      </c>
      <c r="J14" s="8" t="n">
        <v>49</v>
      </c>
      <c r="K14" s="9" t="n">
        <f aca="false">MIN(120,J14/I14*100)</f>
        <v>80.327868852459</v>
      </c>
      <c r="L14" s="9" t="n">
        <f aca="false">K14*G14/100</f>
        <v>16.0655737704918</v>
      </c>
    </row>
    <row r="15" customFormat="false" ht="15" hidden="false" customHeight="false" outlineLevel="0" collapsed="false">
      <c r="A15" s="4" t="s">
        <v>37</v>
      </c>
      <c r="B15" s="4" t="s">
        <v>38</v>
      </c>
      <c r="C15" s="4" t="s">
        <v>5</v>
      </c>
      <c r="D15" s="4" t="s">
        <v>35</v>
      </c>
      <c r="E15" s="4" t="s">
        <v>36</v>
      </c>
      <c r="F15" s="4" t="s">
        <v>180</v>
      </c>
      <c r="G15" s="4" t="n">
        <v>10</v>
      </c>
      <c r="H15" s="4" t="s">
        <v>170</v>
      </c>
      <c r="I15" s="8" t="n">
        <v>26</v>
      </c>
      <c r="J15" s="8" t="n">
        <v>25.4</v>
      </c>
      <c r="K15" s="9" t="n">
        <f aca="false">MIN(120,J15/I15*100)</f>
        <v>97.6923076923077</v>
      </c>
      <c r="L15" s="9" t="n">
        <f aca="false">K15*G15/100</f>
        <v>9.76923076923077</v>
      </c>
    </row>
    <row r="16" customFormat="false" ht="15" hidden="false" customHeight="false" outlineLevel="0" collapsed="false">
      <c r="A16" s="4" t="s">
        <v>37</v>
      </c>
      <c r="B16" s="4" t="s">
        <v>38</v>
      </c>
      <c r="C16" s="4" t="s">
        <v>5</v>
      </c>
      <c r="D16" s="4" t="s">
        <v>35</v>
      </c>
      <c r="E16" s="4" t="s">
        <v>36</v>
      </c>
      <c r="F16" s="4" t="s">
        <v>181</v>
      </c>
      <c r="G16" s="4" t="n">
        <v>10</v>
      </c>
      <c r="H16" s="4" t="s">
        <v>168</v>
      </c>
      <c r="I16" s="8" t="n">
        <v>97</v>
      </c>
      <c r="J16" s="8" t="n">
        <v>85.4</v>
      </c>
      <c r="K16" s="9" t="n">
        <f aca="false">MIN(120,J16/I16*100)</f>
        <v>88.0412371134021</v>
      </c>
      <c r="L16" s="9" t="n">
        <f aca="false">K16*G16/100</f>
        <v>8.80412371134021</v>
      </c>
    </row>
    <row r="17" customFormat="false" ht="15" hidden="false" customHeight="false" outlineLevel="0" collapsed="false">
      <c r="A17" s="4" t="s">
        <v>39</v>
      </c>
      <c r="B17" s="4" t="s">
        <v>40</v>
      </c>
      <c r="C17" s="4" t="s">
        <v>5</v>
      </c>
      <c r="D17" s="4" t="s">
        <v>35</v>
      </c>
      <c r="E17" s="4" t="s">
        <v>36</v>
      </c>
      <c r="F17" s="4" t="s">
        <v>176</v>
      </c>
      <c r="G17" s="4" t="n">
        <v>30</v>
      </c>
      <c r="H17" s="4" t="s">
        <v>164</v>
      </c>
      <c r="I17" s="8" t="n">
        <v>4300000</v>
      </c>
      <c r="J17" s="8" t="n">
        <v>4000000</v>
      </c>
      <c r="K17" s="9" t="n">
        <f aca="false">MIN(120,J17/I17*100)</f>
        <v>93.0232558139535</v>
      </c>
      <c r="L17" s="9" t="n">
        <f aca="false">K17*G17/100</f>
        <v>27.906976744186</v>
      </c>
    </row>
    <row r="18" customFormat="false" ht="15" hidden="false" customHeight="false" outlineLevel="0" collapsed="false">
      <c r="A18" s="4" t="s">
        <v>39</v>
      </c>
      <c r="B18" s="4" t="s">
        <v>40</v>
      </c>
      <c r="C18" s="4" t="s">
        <v>5</v>
      </c>
      <c r="D18" s="4" t="s">
        <v>35</v>
      </c>
      <c r="E18" s="4" t="s">
        <v>36</v>
      </c>
      <c r="F18" s="4" t="s">
        <v>177</v>
      </c>
      <c r="G18" s="4" t="n">
        <v>15</v>
      </c>
      <c r="H18" s="4" t="s">
        <v>170</v>
      </c>
      <c r="I18" s="8" t="n">
        <v>31</v>
      </c>
      <c r="J18" s="8" t="n">
        <v>25.5</v>
      </c>
      <c r="K18" s="9" t="n">
        <f aca="false">MIN(120,J18/I18*100)</f>
        <v>82.258064516129</v>
      </c>
      <c r="L18" s="9" t="n">
        <f aca="false">K18*G18/100</f>
        <v>12.3387096774194</v>
      </c>
    </row>
    <row r="19" customFormat="false" ht="15" hidden="false" customHeight="false" outlineLevel="0" collapsed="false">
      <c r="A19" s="4" t="s">
        <v>39</v>
      </c>
      <c r="B19" s="4" t="s">
        <v>40</v>
      </c>
      <c r="C19" s="4" t="s">
        <v>5</v>
      </c>
      <c r="D19" s="4" t="s">
        <v>35</v>
      </c>
      <c r="E19" s="4" t="s">
        <v>36</v>
      </c>
      <c r="F19" s="4" t="s">
        <v>178</v>
      </c>
      <c r="G19" s="4" t="n">
        <v>15</v>
      </c>
      <c r="H19" s="4" t="s">
        <v>166</v>
      </c>
      <c r="I19" s="8" t="n">
        <v>220</v>
      </c>
      <c r="J19" s="8" t="n">
        <v>203</v>
      </c>
      <c r="K19" s="9" t="n">
        <f aca="false">MIN(120,J19/I19*100)</f>
        <v>92.2727272727273</v>
      </c>
      <c r="L19" s="9" t="n">
        <f aca="false">K19*G19/100</f>
        <v>13.8409090909091</v>
      </c>
    </row>
    <row r="20" customFormat="false" ht="15" hidden="false" customHeight="false" outlineLevel="0" collapsed="false">
      <c r="A20" s="4" t="s">
        <v>39</v>
      </c>
      <c r="B20" s="4" t="s">
        <v>40</v>
      </c>
      <c r="C20" s="4" t="s">
        <v>5</v>
      </c>
      <c r="D20" s="4" t="s">
        <v>35</v>
      </c>
      <c r="E20" s="4" t="s">
        <v>36</v>
      </c>
      <c r="F20" s="4" t="s">
        <v>179</v>
      </c>
      <c r="G20" s="4" t="n">
        <v>20</v>
      </c>
      <c r="H20" s="4" t="s">
        <v>168</v>
      </c>
      <c r="I20" s="8" t="n">
        <v>59</v>
      </c>
      <c r="J20" s="8" t="n">
        <v>58.9</v>
      </c>
      <c r="K20" s="9" t="n">
        <f aca="false">MIN(120,J20/I20*100)</f>
        <v>99.8305084745763</v>
      </c>
      <c r="L20" s="9" t="n">
        <f aca="false">K20*G20/100</f>
        <v>19.9661016949153</v>
      </c>
    </row>
    <row r="21" customFormat="false" ht="15" hidden="false" customHeight="false" outlineLevel="0" collapsed="false">
      <c r="A21" s="4" t="s">
        <v>39</v>
      </c>
      <c r="B21" s="4" t="s">
        <v>40</v>
      </c>
      <c r="C21" s="4" t="s">
        <v>5</v>
      </c>
      <c r="D21" s="4" t="s">
        <v>35</v>
      </c>
      <c r="E21" s="4" t="s">
        <v>36</v>
      </c>
      <c r="F21" s="4" t="s">
        <v>180</v>
      </c>
      <c r="G21" s="4" t="n">
        <v>10</v>
      </c>
      <c r="H21" s="4" t="s">
        <v>170</v>
      </c>
      <c r="I21" s="8" t="n">
        <v>30</v>
      </c>
      <c r="J21" s="8" t="n">
        <v>22.6</v>
      </c>
      <c r="K21" s="9" t="n">
        <f aca="false">MIN(120,J21/I21*100)</f>
        <v>75.3333333333333</v>
      </c>
      <c r="L21" s="9" t="n">
        <f aca="false">K21*G21/100</f>
        <v>7.53333333333334</v>
      </c>
    </row>
    <row r="22" customFormat="false" ht="15" hidden="false" customHeight="false" outlineLevel="0" collapsed="false">
      <c r="A22" s="4" t="s">
        <v>39</v>
      </c>
      <c r="B22" s="4" t="s">
        <v>40</v>
      </c>
      <c r="C22" s="4" t="s">
        <v>5</v>
      </c>
      <c r="D22" s="4" t="s">
        <v>35</v>
      </c>
      <c r="E22" s="4" t="s">
        <v>36</v>
      </c>
      <c r="F22" s="4" t="s">
        <v>181</v>
      </c>
      <c r="G22" s="4" t="n">
        <v>10</v>
      </c>
      <c r="H22" s="4" t="s">
        <v>168</v>
      </c>
      <c r="I22" s="8" t="n">
        <v>98</v>
      </c>
      <c r="J22" s="8" t="n">
        <v>88.4</v>
      </c>
      <c r="K22" s="9" t="n">
        <f aca="false">MIN(120,J22/I22*100)</f>
        <v>90.2040816326531</v>
      </c>
      <c r="L22" s="9" t="n">
        <f aca="false">K22*G22/100</f>
        <v>9.02040816326531</v>
      </c>
    </row>
    <row r="23" customFormat="false" ht="15" hidden="false" customHeight="false" outlineLevel="0" collapsed="false">
      <c r="A23" s="4" t="s">
        <v>41</v>
      </c>
      <c r="B23" s="4" t="s">
        <v>42</v>
      </c>
      <c r="C23" s="4" t="s">
        <v>5</v>
      </c>
      <c r="D23" s="4" t="s">
        <v>35</v>
      </c>
      <c r="E23" s="4" t="s">
        <v>36</v>
      </c>
      <c r="F23" s="4" t="s">
        <v>176</v>
      </c>
      <c r="G23" s="4" t="n">
        <v>30</v>
      </c>
      <c r="H23" s="4" t="s">
        <v>164</v>
      </c>
      <c r="I23" s="8" t="n">
        <v>4100000</v>
      </c>
      <c r="J23" s="8" t="n">
        <v>4250000</v>
      </c>
      <c r="K23" s="9" t="n">
        <f aca="false">MIN(120,J23/I23*100)</f>
        <v>103.658536585366</v>
      </c>
      <c r="L23" s="9" t="n">
        <f aca="false">K23*G23/100</f>
        <v>31.0975609756098</v>
      </c>
    </row>
    <row r="24" customFormat="false" ht="15" hidden="false" customHeight="false" outlineLevel="0" collapsed="false">
      <c r="A24" s="4" t="s">
        <v>41</v>
      </c>
      <c r="B24" s="4" t="s">
        <v>42</v>
      </c>
      <c r="C24" s="4" t="s">
        <v>5</v>
      </c>
      <c r="D24" s="4" t="s">
        <v>35</v>
      </c>
      <c r="E24" s="4" t="s">
        <v>36</v>
      </c>
      <c r="F24" s="4" t="s">
        <v>177</v>
      </c>
      <c r="G24" s="4" t="n">
        <v>15</v>
      </c>
      <c r="H24" s="4" t="s">
        <v>170</v>
      </c>
      <c r="I24" s="8" t="n">
        <v>32</v>
      </c>
      <c r="J24" s="8" t="n">
        <v>29.2</v>
      </c>
      <c r="K24" s="9" t="n">
        <f aca="false">MIN(120,J24/I24*100)</f>
        <v>91.25</v>
      </c>
      <c r="L24" s="9" t="n">
        <f aca="false">K24*G24/100</f>
        <v>13.6875</v>
      </c>
    </row>
    <row r="25" customFormat="false" ht="15" hidden="false" customHeight="false" outlineLevel="0" collapsed="false">
      <c r="A25" s="4" t="s">
        <v>41</v>
      </c>
      <c r="B25" s="4" t="s">
        <v>42</v>
      </c>
      <c r="C25" s="4" t="s">
        <v>5</v>
      </c>
      <c r="D25" s="4" t="s">
        <v>35</v>
      </c>
      <c r="E25" s="4" t="s">
        <v>36</v>
      </c>
      <c r="F25" s="4" t="s">
        <v>178</v>
      </c>
      <c r="G25" s="4" t="n">
        <v>15</v>
      </c>
      <c r="H25" s="4" t="s">
        <v>166</v>
      </c>
      <c r="I25" s="8" t="n">
        <v>230</v>
      </c>
      <c r="J25" s="8" t="n">
        <v>205</v>
      </c>
      <c r="K25" s="9" t="n">
        <f aca="false">MIN(120,J25/I25*100)</f>
        <v>89.1304347826087</v>
      </c>
      <c r="L25" s="9" t="n">
        <f aca="false">K25*G25/100</f>
        <v>13.3695652173913</v>
      </c>
    </row>
    <row r="26" customFormat="false" ht="15" hidden="false" customHeight="false" outlineLevel="0" collapsed="false">
      <c r="A26" s="4" t="s">
        <v>41</v>
      </c>
      <c r="B26" s="4" t="s">
        <v>42</v>
      </c>
      <c r="C26" s="4" t="s">
        <v>5</v>
      </c>
      <c r="D26" s="4" t="s">
        <v>35</v>
      </c>
      <c r="E26" s="4" t="s">
        <v>36</v>
      </c>
      <c r="F26" s="4" t="s">
        <v>179</v>
      </c>
      <c r="G26" s="4" t="n">
        <v>20</v>
      </c>
      <c r="H26" s="4" t="s">
        <v>168</v>
      </c>
      <c r="I26" s="8" t="n">
        <v>57</v>
      </c>
      <c r="J26" s="8" t="n">
        <v>54.6</v>
      </c>
      <c r="K26" s="9" t="n">
        <f aca="false">MIN(120,J26/I26*100)</f>
        <v>95.7894736842105</v>
      </c>
      <c r="L26" s="9" t="n">
        <f aca="false">K26*G26/100</f>
        <v>19.1578947368421</v>
      </c>
    </row>
    <row r="27" customFormat="false" ht="15" hidden="false" customHeight="false" outlineLevel="0" collapsed="false">
      <c r="A27" s="4" t="s">
        <v>41</v>
      </c>
      <c r="B27" s="4" t="s">
        <v>42</v>
      </c>
      <c r="C27" s="4" t="s">
        <v>5</v>
      </c>
      <c r="D27" s="4" t="s">
        <v>35</v>
      </c>
      <c r="E27" s="4" t="s">
        <v>36</v>
      </c>
      <c r="F27" s="4" t="s">
        <v>180</v>
      </c>
      <c r="G27" s="4" t="n">
        <v>10</v>
      </c>
      <c r="H27" s="4" t="s">
        <v>170</v>
      </c>
      <c r="I27" s="8" t="n">
        <v>28</v>
      </c>
      <c r="J27" s="8" t="n">
        <v>29.1</v>
      </c>
      <c r="K27" s="9" t="n">
        <f aca="false">MIN(120,J27/I27*100)</f>
        <v>103.928571428571</v>
      </c>
      <c r="L27" s="9" t="n">
        <f aca="false">K27*G27/100</f>
        <v>10.3928571428571</v>
      </c>
    </row>
    <row r="28" customFormat="false" ht="15" hidden="false" customHeight="false" outlineLevel="0" collapsed="false">
      <c r="A28" s="4" t="s">
        <v>41</v>
      </c>
      <c r="B28" s="4" t="s">
        <v>42</v>
      </c>
      <c r="C28" s="4" t="s">
        <v>5</v>
      </c>
      <c r="D28" s="4" t="s">
        <v>35</v>
      </c>
      <c r="E28" s="4" t="s">
        <v>36</v>
      </c>
      <c r="F28" s="4" t="s">
        <v>181</v>
      </c>
      <c r="G28" s="4" t="n">
        <v>10</v>
      </c>
      <c r="H28" s="4" t="s">
        <v>168</v>
      </c>
      <c r="I28" s="8" t="n">
        <v>92</v>
      </c>
      <c r="J28" s="8" t="n">
        <v>107.9</v>
      </c>
      <c r="K28" s="9" t="n">
        <f aca="false">MIN(120,J28/I28*100)</f>
        <v>117.282608695652</v>
      </c>
      <c r="L28" s="9" t="n">
        <f aca="false">K28*G28/100</f>
        <v>11.7282608695652</v>
      </c>
    </row>
    <row r="29" customFormat="false" ht="15" hidden="false" customHeight="false" outlineLevel="0" collapsed="false">
      <c r="A29" s="4" t="s">
        <v>43</v>
      </c>
      <c r="B29" s="4" t="s">
        <v>44</v>
      </c>
      <c r="C29" s="4" t="s">
        <v>5</v>
      </c>
      <c r="D29" s="4" t="s">
        <v>35</v>
      </c>
      <c r="E29" s="4" t="s">
        <v>36</v>
      </c>
      <c r="F29" s="4" t="s">
        <v>176</v>
      </c>
      <c r="G29" s="4" t="n">
        <v>30</v>
      </c>
      <c r="H29" s="4" t="s">
        <v>164</v>
      </c>
      <c r="I29" s="8" t="n">
        <v>4800000</v>
      </c>
      <c r="J29" s="8" t="n">
        <v>3000000</v>
      </c>
      <c r="K29" s="9" t="n">
        <f aca="false">MIN(120,J29/I29*100)</f>
        <v>62.5</v>
      </c>
      <c r="L29" s="9" t="n">
        <f aca="false">K29*G29/100</f>
        <v>18.75</v>
      </c>
    </row>
    <row r="30" customFormat="false" ht="15" hidden="false" customHeight="false" outlineLevel="0" collapsed="false">
      <c r="A30" s="4" t="s">
        <v>43</v>
      </c>
      <c r="B30" s="4" t="s">
        <v>44</v>
      </c>
      <c r="C30" s="4" t="s">
        <v>5</v>
      </c>
      <c r="D30" s="4" t="s">
        <v>35</v>
      </c>
      <c r="E30" s="4" t="s">
        <v>36</v>
      </c>
      <c r="F30" s="4" t="s">
        <v>177</v>
      </c>
      <c r="G30" s="4" t="n">
        <v>15</v>
      </c>
      <c r="H30" s="4" t="s">
        <v>170</v>
      </c>
      <c r="I30" s="8" t="n">
        <v>33</v>
      </c>
      <c r="J30" s="8" t="n">
        <v>20.8</v>
      </c>
      <c r="K30" s="9" t="n">
        <f aca="false">MIN(120,J30/I30*100)</f>
        <v>63.030303030303</v>
      </c>
      <c r="L30" s="9" t="n">
        <f aca="false">K30*G30/100</f>
        <v>9.45454545454546</v>
      </c>
    </row>
    <row r="31" customFormat="false" ht="15" hidden="false" customHeight="false" outlineLevel="0" collapsed="false">
      <c r="A31" s="4" t="s">
        <v>43</v>
      </c>
      <c r="B31" s="4" t="s">
        <v>44</v>
      </c>
      <c r="C31" s="4" t="s">
        <v>5</v>
      </c>
      <c r="D31" s="4" t="s">
        <v>35</v>
      </c>
      <c r="E31" s="4" t="s">
        <v>36</v>
      </c>
      <c r="F31" s="4" t="s">
        <v>178</v>
      </c>
      <c r="G31" s="4" t="n">
        <v>15</v>
      </c>
      <c r="H31" s="4" t="s">
        <v>166</v>
      </c>
      <c r="I31" s="8" t="n">
        <v>260</v>
      </c>
      <c r="J31" s="8" t="n">
        <v>142</v>
      </c>
      <c r="K31" s="9" t="n">
        <f aca="false">MIN(120,J31/I31*100)</f>
        <v>54.6153846153846</v>
      </c>
      <c r="L31" s="9" t="n">
        <f aca="false">K31*G31/100</f>
        <v>8.19230769230769</v>
      </c>
    </row>
    <row r="32" customFormat="false" ht="15" hidden="false" customHeight="false" outlineLevel="0" collapsed="false">
      <c r="A32" s="4" t="s">
        <v>43</v>
      </c>
      <c r="B32" s="4" t="s">
        <v>44</v>
      </c>
      <c r="C32" s="4" t="s">
        <v>5</v>
      </c>
      <c r="D32" s="4" t="s">
        <v>35</v>
      </c>
      <c r="E32" s="4" t="s">
        <v>36</v>
      </c>
      <c r="F32" s="4" t="s">
        <v>179</v>
      </c>
      <c r="G32" s="4" t="n">
        <v>20</v>
      </c>
      <c r="H32" s="4" t="s">
        <v>168</v>
      </c>
      <c r="I32" s="8" t="n">
        <v>65</v>
      </c>
      <c r="J32" s="8" t="n">
        <v>37.4</v>
      </c>
      <c r="K32" s="9" t="n">
        <f aca="false">MIN(120,J32/I32*100)</f>
        <v>57.5384615384615</v>
      </c>
      <c r="L32" s="9" t="n">
        <f aca="false">K32*G32/100</f>
        <v>11.5076923076923</v>
      </c>
    </row>
    <row r="33" customFormat="false" ht="15" hidden="false" customHeight="false" outlineLevel="0" collapsed="false">
      <c r="A33" s="4" t="s">
        <v>43</v>
      </c>
      <c r="B33" s="4" t="s">
        <v>44</v>
      </c>
      <c r="C33" s="4" t="s">
        <v>5</v>
      </c>
      <c r="D33" s="4" t="s">
        <v>35</v>
      </c>
      <c r="E33" s="4" t="s">
        <v>36</v>
      </c>
      <c r="F33" s="4" t="s">
        <v>180</v>
      </c>
      <c r="G33" s="4" t="n">
        <v>10</v>
      </c>
      <c r="H33" s="4" t="s">
        <v>170</v>
      </c>
      <c r="I33" s="8" t="n">
        <v>30</v>
      </c>
      <c r="J33" s="8" t="n">
        <v>19.9</v>
      </c>
      <c r="K33" s="9" t="n">
        <f aca="false">MIN(120,J33/I33*100)</f>
        <v>66.3333333333333</v>
      </c>
      <c r="L33" s="9" t="n">
        <f aca="false">K33*G33/100</f>
        <v>6.63333333333333</v>
      </c>
    </row>
    <row r="34" customFormat="false" ht="15" hidden="false" customHeight="false" outlineLevel="0" collapsed="false">
      <c r="A34" s="4" t="s">
        <v>43</v>
      </c>
      <c r="B34" s="4" t="s">
        <v>44</v>
      </c>
      <c r="C34" s="4" t="s">
        <v>5</v>
      </c>
      <c r="D34" s="4" t="s">
        <v>35</v>
      </c>
      <c r="E34" s="4" t="s">
        <v>36</v>
      </c>
      <c r="F34" s="4" t="s">
        <v>181</v>
      </c>
      <c r="G34" s="4" t="n">
        <v>10</v>
      </c>
      <c r="H34" s="4" t="s">
        <v>168</v>
      </c>
      <c r="I34" s="8" t="n">
        <v>89</v>
      </c>
      <c r="J34" s="8" t="n">
        <v>51.5</v>
      </c>
      <c r="K34" s="9" t="n">
        <f aca="false">MIN(120,J34/I34*100)</f>
        <v>57.8651685393258</v>
      </c>
      <c r="L34" s="9" t="n">
        <f aca="false">K34*G34/100</f>
        <v>5.78651685393258</v>
      </c>
    </row>
    <row r="35" customFormat="false" ht="15" hidden="false" customHeight="false" outlineLevel="0" collapsed="false">
      <c r="A35" s="4" t="s">
        <v>45</v>
      </c>
      <c r="B35" s="4" t="s">
        <v>46</v>
      </c>
      <c r="C35" s="4" t="s">
        <v>7</v>
      </c>
      <c r="D35" s="4" t="s">
        <v>47</v>
      </c>
      <c r="E35" s="4" t="s">
        <v>36</v>
      </c>
      <c r="F35" s="4" t="s">
        <v>171</v>
      </c>
      <c r="G35" s="4" t="n">
        <v>35</v>
      </c>
      <c r="H35" s="4" t="s">
        <v>164</v>
      </c>
      <c r="I35" s="8" t="n">
        <v>17000000</v>
      </c>
      <c r="J35" s="8" t="n">
        <v>12620000</v>
      </c>
      <c r="K35" s="9" t="n">
        <f aca="false">MIN(120,J35/I35*100)</f>
        <v>74.2352941176471</v>
      </c>
      <c r="L35" s="9" t="n">
        <f aca="false">K35*G35/100</f>
        <v>25.9823529411765</v>
      </c>
    </row>
    <row r="36" customFormat="false" ht="15" hidden="false" customHeight="false" outlineLevel="0" collapsed="false">
      <c r="A36" s="4" t="s">
        <v>45</v>
      </c>
      <c r="B36" s="4" t="s">
        <v>46</v>
      </c>
      <c r="C36" s="4" t="s">
        <v>7</v>
      </c>
      <c r="D36" s="4" t="s">
        <v>47</v>
      </c>
      <c r="E36" s="4" t="s">
        <v>36</v>
      </c>
      <c r="F36" s="4" t="s">
        <v>172</v>
      </c>
      <c r="G36" s="4" t="n">
        <v>20</v>
      </c>
      <c r="H36" s="4" t="s">
        <v>168</v>
      </c>
      <c r="I36" s="8" t="n">
        <v>88</v>
      </c>
      <c r="J36" s="8" t="n">
        <v>75.8</v>
      </c>
      <c r="K36" s="9" t="n">
        <f aca="false">MIN(120,J36/I36*100)</f>
        <v>86.1363636363636</v>
      </c>
      <c r="L36" s="9" t="n">
        <f aca="false">K36*G36/100</f>
        <v>17.2272727272727</v>
      </c>
    </row>
    <row r="37" customFormat="false" ht="15" hidden="false" customHeight="false" outlineLevel="0" collapsed="false">
      <c r="A37" s="4" t="s">
        <v>45</v>
      </c>
      <c r="B37" s="4" t="s">
        <v>46</v>
      </c>
      <c r="C37" s="4" t="s">
        <v>7</v>
      </c>
      <c r="D37" s="4" t="s">
        <v>47</v>
      </c>
      <c r="E37" s="4" t="s">
        <v>36</v>
      </c>
      <c r="F37" s="4" t="s">
        <v>173</v>
      </c>
      <c r="G37" s="4" t="n">
        <v>20</v>
      </c>
      <c r="H37" s="4" t="s">
        <v>168</v>
      </c>
      <c r="I37" s="8" t="n">
        <v>60</v>
      </c>
      <c r="J37" s="8" t="n">
        <v>43.3</v>
      </c>
      <c r="K37" s="9" t="n">
        <f aca="false">MIN(120,J37/I37*100)</f>
        <v>72.1666666666667</v>
      </c>
      <c r="L37" s="9" t="n">
        <f aca="false">K37*G37/100</f>
        <v>14.4333333333333</v>
      </c>
    </row>
    <row r="38" customFormat="false" ht="15" hidden="false" customHeight="false" outlineLevel="0" collapsed="false">
      <c r="A38" s="4" t="s">
        <v>45</v>
      </c>
      <c r="B38" s="4" t="s">
        <v>46</v>
      </c>
      <c r="C38" s="4" t="s">
        <v>7</v>
      </c>
      <c r="D38" s="4" t="s">
        <v>47</v>
      </c>
      <c r="E38" s="4" t="s">
        <v>36</v>
      </c>
      <c r="F38" s="4" t="s">
        <v>174</v>
      </c>
      <c r="G38" s="4" t="n">
        <v>15</v>
      </c>
      <c r="H38" s="4" t="s">
        <v>170</v>
      </c>
      <c r="I38" s="8" t="n">
        <v>92</v>
      </c>
      <c r="J38" s="8" t="n">
        <v>62</v>
      </c>
      <c r="K38" s="9" t="n">
        <f aca="false">MIN(120,J38/I38*100)</f>
        <v>67.3913043478261</v>
      </c>
      <c r="L38" s="9" t="n">
        <f aca="false">K38*G38/100</f>
        <v>10.1086956521739</v>
      </c>
    </row>
    <row r="39" customFormat="false" ht="15" hidden="false" customHeight="false" outlineLevel="0" collapsed="false">
      <c r="A39" s="4" t="s">
        <v>45</v>
      </c>
      <c r="B39" s="4" t="s">
        <v>46</v>
      </c>
      <c r="C39" s="4" t="s">
        <v>7</v>
      </c>
      <c r="D39" s="4" t="s">
        <v>47</v>
      </c>
      <c r="E39" s="4" t="s">
        <v>36</v>
      </c>
      <c r="F39" s="4" t="s">
        <v>175</v>
      </c>
      <c r="G39" s="4" t="n">
        <v>10</v>
      </c>
      <c r="H39" s="4" t="s">
        <v>168</v>
      </c>
      <c r="I39" s="8" t="n">
        <v>72</v>
      </c>
      <c r="J39" s="8" t="n">
        <v>61.6</v>
      </c>
      <c r="K39" s="9" t="n">
        <f aca="false">MIN(120,J39/I39*100)</f>
        <v>85.5555555555556</v>
      </c>
      <c r="L39" s="9" t="n">
        <f aca="false">K39*G39/100</f>
        <v>8.55555555555556</v>
      </c>
    </row>
    <row r="40" customFormat="false" ht="15" hidden="false" customHeight="false" outlineLevel="0" collapsed="false">
      <c r="A40" s="4" t="s">
        <v>48</v>
      </c>
      <c r="B40" s="4" t="s">
        <v>49</v>
      </c>
      <c r="C40" s="4" t="s">
        <v>5</v>
      </c>
      <c r="D40" s="4" t="s">
        <v>47</v>
      </c>
      <c r="E40" s="4" t="s">
        <v>36</v>
      </c>
      <c r="F40" s="4" t="s">
        <v>176</v>
      </c>
      <c r="G40" s="4" t="n">
        <v>30</v>
      </c>
      <c r="H40" s="4" t="s">
        <v>164</v>
      </c>
      <c r="I40" s="8" t="n">
        <v>4100000</v>
      </c>
      <c r="J40" s="8" t="n">
        <v>3900000</v>
      </c>
      <c r="K40" s="9" t="n">
        <f aca="false">MIN(120,J40/I40*100)</f>
        <v>95.1219512195122</v>
      </c>
      <c r="L40" s="9" t="n">
        <f aca="false">K40*G40/100</f>
        <v>28.5365853658537</v>
      </c>
    </row>
    <row r="41" customFormat="false" ht="15" hidden="false" customHeight="false" outlineLevel="0" collapsed="false">
      <c r="A41" s="4" t="s">
        <v>48</v>
      </c>
      <c r="B41" s="4" t="s">
        <v>49</v>
      </c>
      <c r="C41" s="4" t="s">
        <v>5</v>
      </c>
      <c r="D41" s="4" t="s">
        <v>47</v>
      </c>
      <c r="E41" s="4" t="s">
        <v>36</v>
      </c>
      <c r="F41" s="4" t="s">
        <v>177</v>
      </c>
      <c r="G41" s="4" t="n">
        <v>15</v>
      </c>
      <c r="H41" s="4" t="s">
        <v>170</v>
      </c>
      <c r="I41" s="8" t="n">
        <v>30</v>
      </c>
      <c r="J41" s="8" t="n">
        <v>34.3</v>
      </c>
      <c r="K41" s="9" t="n">
        <f aca="false">MIN(120,J41/I41*100)</f>
        <v>114.333333333333</v>
      </c>
      <c r="L41" s="9" t="n">
        <f aca="false">K41*G41/100</f>
        <v>17.15</v>
      </c>
    </row>
    <row r="42" customFormat="false" ht="15" hidden="false" customHeight="false" outlineLevel="0" collapsed="false">
      <c r="A42" s="4" t="s">
        <v>48</v>
      </c>
      <c r="B42" s="4" t="s">
        <v>49</v>
      </c>
      <c r="C42" s="4" t="s">
        <v>5</v>
      </c>
      <c r="D42" s="4" t="s">
        <v>47</v>
      </c>
      <c r="E42" s="4" t="s">
        <v>36</v>
      </c>
      <c r="F42" s="4" t="s">
        <v>178</v>
      </c>
      <c r="G42" s="4" t="n">
        <v>15</v>
      </c>
      <c r="H42" s="4" t="s">
        <v>166</v>
      </c>
      <c r="I42" s="8" t="n">
        <v>220</v>
      </c>
      <c r="J42" s="8" t="n">
        <v>216</v>
      </c>
      <c r="K42" s="9" t="n">
        <f aca="false">MIN(120,J42/I42*100)</f>
        <v>98.1818181818182</v>
      </c>
      <c r="L42" s="9" t="n">
        <f aca="false">K42*G42/100</f>
        <v>14.7272727272727</v>
      </c>
    </row>
    <row r="43" customFormat="false" ht="15" hidden="false" customHeight="false" outlineLevel="0" collapsed="false">
      <c r="A43" s="4" t="s">
        <v>48</v>
      </c>
      <c r="B43" s="4" t="s">
        <v>49</v>
      </c>
      <c r="C43" s="4" t="s">
        <v>5</v>
      </c>
      <c r="D43" s="4" t="s">
        <v>47</v>
      </c>
      <c r="E43" s="4" t="s">
        <v>36</v>
      </c>
      <c r="F43" s="4" t="s">
        <v>179</v>
      </c>
      <c r="G43" s="4" t="n">
        <v>20</v>
      </c>
      <c r="H43" s="4" t="s">
        <v>168</v>
      </c>
      <c r="I43" s="8" t="n">
        <v>62</v>
      </c>
      <c r="J43" s="8" t="n">
        <v>63.2</v>
      </c>
      <c r="K43" s="9" t="n">
        <f aca="false">MIN(120,J43/I43*100)</f>
        <v>101.935483870968</v>
      </c>
      <c r="L43" s="9" t="n">
        <f aca="false">K43*G43/100</f>
        <v>20.3870967741935</v>
      </c>
    </row>
    <row r="44" customFormat="false" ht="15" hidden="false" customHeight="false" outlineLevel="0" collapsed="false">
      <c r="A44" s="4" t="s">
        <v>48</v>
      </c>
      <c r="B44" s="4" t="s">
        <v>49</v>
      </c>
      <c r="C44" s="4" t="s">
        <v>5</v>
      </c>
      <c r="D44" s="4" t="s">
        <v>47</v>
      </c>
      <c r="E44" s="4" t="s">
        <v>36</v>
      </c>
      <c r="F44" s="4" t="s">
        <v>180</v>
      </c>
      <c r="G44" s="4" t="n">
        <v>10</v>
      </c>
      <c r="H44" s="4" t="s">
        <v>170</v>
      </c>
      <c r="I44" s="8" t="n">
        <v>26</v>
      </c>
      <c r="J44" s="8" t="n">
        <v>29.5</v>
      </c>
      <c r="K44" s="9" t="n">
        <f aca="false">MIN(120,J44/I44*100)</f>
        <v>113.461538461538</v>
      </c>
      <c r="L44" s="9" t="n">
        <f aca="false">K44*G44/100</f>
        <v>11.3461538461538</v>
      </c>
    </row>
    <row r="45" customFormat="false" ht="15" hidden="false" customHeight="false" outlineLevel="0" collapsed="false">
      <c r="A45" s="4" t="s">
        <v>48</v>
      </c>
      <c r="B45" s="4" t="s">
        <v>49</v>
      </c>
      <c r="C45" s="4" t="s">
        <v>5</v>
      </c>
      <c r="D45" s="4" t="s">
        <v>47</v>
      </c>
      <c r="E45" s="4" t="s">
        <v>36</v>
      </c>
      <c r="F45" s="4" t="s">
        <v>181</v>
      </c>
      <c r="G45" s="4" t="n">
        <v>10</v>
      </c>
      <c r="H45" s="4" t="s">
        <v>168</v>
      </c>
      <c r="I45" s="8" t="n">
        <v>100</v>
      </c>
      <c r="J45" s="8" t="n">
        <v>89.5</v>
      </c>
      <c r="K45" s="9" t="n">
        <f aca="false">MIN(120,J45/I45*100)</f>
        <v>89.5</v>
      </c>
      <c r="L45" s="9" t="n">
        <f aca="false">K45*G45/100</f>
        <v>8.95</v>
      </c>
    </row>
    <row r="46" customFormat="false" ht="15" hidden="false" customHeight="false" outlineLevel="0" collapsed="false">
      <c r="A46" s="4" t="s">
        <v>50</v>
      </c>
      <c r="B46" s="4" t="s">
        <v>51</v>
      </c>
      <c r="C46" s="4" t="s">
        <v>5</v>
      </c>
      <c r="D46" s="4" t="s">
        <v>47</v>
      </c>
      <c r="E46" s="4" t="s">
        <v>36</v>
      </c>
      <c r="F46" s="4" t="s">
        <v>176</v>
      </c>
      <c r="G46" s="4" t="n">
        <v>30</v>
      </c>
      <c r="H46" s="4" t="s">
        <v>164</v>
      </c>
      <c r="I46" s="8" t="n">
        <v>4100000</v>
      </c>
      <c r="J46" s="8" t="n">
        <v>3270000</v>
      </c>
      <c r="K46" s="9" t="n">
        <f aca="false">MIN(120,J46/I46*100)</f>
        <v>79.7560975609756</v>
      </c>
      <c r="L46" s="9" t="n">
        <f aca="false">K46*G46/100</f>
        <v>23.9268292682927</v>
      </c>
    </row>
    <row r="47" customFormat="false" ht="15" hidden="false" customHeight="false" outlineLevel="0" collapsed="false">
      <c r="A47" s="4" t="s">
        <v>50</v>
      </c>
      <c r="B47" s="4" t="s">
        <v>51</v>
      </c>
      <c r="C47" s="4" t="s">
        <v>5</v>
      </c>
      <c r="D47" s="4" t="s">
        <v>47</v>
      </c>
      <c r="E47" s="4" t="s">
        <v>36</v>
      </c>
      <c r="F47" s="4" t="s">
        <v>177</v>
      </c>
      <c r="G47" s="4" t="n">
        <v>15</v>
      </c>
      <c r="H47" s="4" t="s">
        <v>170</v>
      </c>
      <c r="I47" s="8" t="n">
        <v>32</v>
      </c>
      <c r="J47" s="8" t="n">
        <v>26</v>
      </c>
      <c r="K47" s="9" t="n">
        <f aca="false">MIN(120,J47/I47*100)</f>
        <v>81.25</v>
      </c>
      <c r="L47" s="9" t="n">
        <f aca="false">K47*G47/100</f>
        <v>12.1875</v>
      </c>
    </row>
    <row r="48" customFormat="false" ht="15" hidden="false" customHeight="false" outlineLevel="0" collapsed="false">
      <c r="A48" s="4" t="s">
        <v>50</v>
      </c>
      <c r="B48" s="4" t="s">
        <v>51</v>
      </c>
      <c r="C48" s="4" t="s">
        <v>5</v>
      </c>
      <c r="D48" s="4" t="s">
        <v>47</v>
      </c>
      <c r="E48" s="4" t="s">
        <v>36</v>
      </c>
      <c r="F48" s="4" t="s">
        <v>178</v>
      </c>
      <c r="G48" s="4" t="n">
        <v>15</v>
      </c>
      <c r="H48" s="4" t="s">
        <v>166</v>
      </c>
      <c r="I48" s="8" t="n">
        <v>220</v>
      </c>
      <c r="J48" s="8" t="n">
        <v>175</v>
      </c>
      <c r="K48" s="9" t="n">
        <f aca="false">MIN(120,J48/I48*100)</f>
        <v>79.5454545454546</v>
      </c>
      <c r="L48" s="9" t="n">
        <f aca="false">K48*G48/100</f>
        <v>11.9318181818182</v>
      </c>
    </row>
    <row r="49" customFormat="false" ht="15" hidden="false" customHeight="false" outlineLevel="0" collapsed="false">
      <c r="A49" s="4" t="s">
        <v>50</v>
      </c>
      <c r="B49" s="4" t="s">
        <v>51</v>
      </c>
      <c r="C49" s="4" t="s">
        <v>5</v>
      </c>
      <c r="D49" s="4" t="s">
        <v>47</v>
      </c>
      <c r="E49" s="4" t="s">
        <v>36</v>
      </c>
      <c r="F49" s="4" t="s">
        <v>179</v>
      </c>
      <c r="G49" s="4" t="n">
        <v>20</v>
      </c>
      <c r="H49" s="4" t="s">
        <v>168</v>
      </c>
      <c r="I49" s="8" t="n">
        <v>65</v>
      </c>
      <c r="J49" s="8" t="n">
        <v>61.6</v>
      </c>
      <c r="K49" s="9" t="n">
        <f aca="false">MIN(120,J49/I49*100)</f>
        <v>94.7692307692308</v>
      </c>
      <c r="L49" s="9" t="n">
        <f aca="false">K49*G49/100</f>
        <v>18.9538461538462</v>
      </c>
    </row>
    <row r="50" customFormat="false" ht="15" hidden="false" customHeight="false" outlineLevel="0" collapsed="false">
      <c r="A50" s="4" t="s">
        <v>50</v>
      </c>
      <c r="B50" s="4" t="s">
        <v>51</v>
      </c>
      <c r="C50" s="4" t="s">
        <v>5</v>
      </c>
      <c r="D50" s="4" t="s">
        <v>47</v>
      </c>
      <c r="E50" s="4" t="s">
        <v>36</v>
      </c>
      <c r="F50" s="4" t="s">
        <v>180</v>
      </c>
      <c r="G50" s="4" t="n">
        <v>10</v>
      </c>
      <c r="H50" s="4" t="s">
        <v>170</v>
      </c>
      <c r="I50" s="8" t="n">
        <v>25</v>
      </c>
      <c r="J50" s="8" t="n">
        <v>19.9</v>
      </c>
      <c r="K50" s="9" t="n">
        <f aca="false">MIN(120,J50/I50*100)</f>
        <v>79.6</v>
      </c>
      <c r="L50" s="9" t="n">
        <f aca="false">K50*G50/100</f>
        <v>7.96</v>
      </c>
    </row>
    <row r="51" customFormat="false" ht="15" hidden="false" customHeight="false" outlineLevel="0" collapsed="false">
      <c r="A51" s="4" t="s">
        <v>50</v>
      </c>
      <c r="B51" s="4" t="s">
        <v>51</v>
      </c>
      <c r="C51" s="4" t="s">
        <v>5</v>
      </c>
      <c r="D51" s="4" t="s">
        <v>47</v>
      </c>
      <c r="E51" s="4" t="s">
        <v>36</v>
      </c>
      <c r="F51" s="4" t="s">
        <v>181</v>
      </c>
      <c r="G51" s="4" t="n">
        <v>10</v>
      </c>
      <c r="H51" s="4" t="s">
        <v>168</v>
      </c>
      <c r="I51" s="8" t="n">
        <v>99</v>
      </c>
      <c r="J51" s="8" t="n">
        <v>86.3</v>
      </c>
      <c r="K51" s="9" t="n">
        <f aca="false">MIN(120,J51/I51*100)</f>
        <v>87.1717171717172</v>
      </c>
      <c r="L51" s="9" t="n">
        <f aca="false">K51*G51/100</f>
        <v>8.71717171717172</v>
      </c>
    </row>
    <row r="52" customFormat="false" ht="15" hidden="false" customHeight="false" outlineLevel="0" collapsed="false">
      <c r="A52" s="4" t="s">
        <v>52</v>
      </c>
      <c r="B52" s="4" t="s">
        <v>53</v>
      </c>
      <c r="C52" s="4" t="s">
        <v>5</v>
      </c>
      <c r="D52" s="4" t="s">
        <v>47</v>
      </c>
      <c r="E52" s="4" t="s">
        <v>36</v>
      </c>
      <c r="F52" s="4" t="s">
        <v>176</v>
      </c>
      <c r="G52" s="4" t="n">
        <v>30</v>
      </c>
      <c r="H52" s="4" t="s">
        <v>164</v>
      </c>
      <c r="I52" s="8" t="n">
        <v>4400000</v>
      </c>
      <c r="J52" s="8" t="n">
        <v>3540000</v>
      </c>
      <c r="K52" s="9" t="n">
        <f aca="false">MIN(120,J52/I52*100)</f>
        <v>80.4545454545455</v>
      </c>
      <c r="L52" s="9" t="n">
        <f aca="false">K52*G52/100</f>
        <v>24.1363636363636</v>
      </c>
    </row>
    <row r="53" customFormat="false" ht="15" hidden="false" customHeight="false" outlineLevel="0" collapsed="false">
      <c r="A53" s="4" t="s">
        <v>52</v>
      </c>
      <c r="B53" s="4" t="s">
        <v>53</v>
      </c>
      <c r="C53" s="4" t="s">
        <v>5</v>
      </c>
      <c r="D53" s="4" t="s">
        <v>47</v>
      </c>
      <c r="E53" s="4" t="s">
        <v>36</v>
      </c>
      <c r="F53" s="4" t="s">
        <v>177</v>
      </c>
      <c r="G53" s="4" t="n">
        <v>15</v>
      </c>
      <c r="H53" s="4" t="s">
        <v>170</v>
      </c>
      <c r="I53" s="8" t="n">
        <v>34</v>
      </c>
      <c r="J53" s="8" t="n">
        <v>30.7</v>
      </c>
      <c r="K53" s="9" t="n">
        <f aca="false">MIN(120,J53/I53*100)</f>
        <v>90.2941176470588</v>
      </c>
      <c r="L53" s="9" t="n">
        <f aca="false">K53*G53/100</f>
        <v>13.5441176470588</v>
      </c>
    </row>
    <row r="54" customFormat="false" ht="15" hidden="false" customHeight="false" outlineLevel="0" collapsed="false">
      <c r="A54" s="4" t="s">
        <v>52</v>
      </c>
      <c r="B54" s="4" t="s">
        <v>53</v>
      </c>
      <c r="C54" s="4" t="s">
        <v>5</v>
      </c>
      <c r="D54" s="4" t="s">
        <v>47</v>
      </c>
      <c r="E54" s="4" t="s">
        <v>36</v>
      </c>
      <c r="F54" s="4" t="s">
        <v>178</v>
      </c>
      <c r="G54" s="4" t="n">
        <v>15</v>
      </c>
      <c r="H54" s="4" t="s">
        <v>166</v>
      </c>
      <c r="I54" s="8" t="n">
        <v>250</v>
      </c>
      <c r="J54" s="8" t="n">
        <v>223</v>
      </c>
      <c r="K54" s="9" t="n">
        <f aca="false">MIN(120,J54/I54*100)</f>
        <v>89.2</v>
      </c>
      <c r="L54" s="9" t="n">
        <f aca="false">K54*G54/100</f>
        <v>13.38</v>
      </c>
    </row>
    <row r="55" customFormat="false" ht="15" hidden="false" customHeight="false" outlineLevel="0" collapsed="false">
      <c r="A55" s="4" t="s">
        <v>52</v>
      </c>
      <c r="B55" s="4" t="s">
        <v>53</v>
      </c>
      <c r="C55" s="4" t="s">
        <v>5</v>
      </c>
      <c r="D55" s="4" t="s">
        <v>47</v>
      </c>
      <c r="E55" s="4" t="s">
        <v>36</v>
      </c>
      <c r="F55" s="4" t="s">
        <v>179</v>
      </c>
      <c r="G55" s="4" t="n">
        <v>20</v>
      </c>
      <c r="H55" s="4" t="s">
        <v>168</v>
      </c>
      <c r="I55" s="8" t="n">
        <v>57</v>
      </c>
      <c r="J55" s="8" t="n">
        <v>40.5</v>
      </c>
      <c r="K55" s="9" t="n">
        <f aca="false">MIN(120,J55/I55*100)</f>
        <v>71.0526315789474</v>
      </c>
      <c r="L55" s="9" t="n">
        <f aca="false">K55*G55/100</f>
        <v>14.2105263157895</v>
      </c>
    </row>
    <row r="56" customFormat="false" ht="15" hidden="false" customHeight="false" outlineLevel="0" collapsed="false">
      <c r="A56" s="4" t="s">
        <v>52</v>
      </c>
      <c r="B56" s="4" t="s">
        <v>53</v>
      </c>
      <c r="C56" s="4" t="s">
        <v>5</v>
      </c>
      <c r="D56" s="4" t="s">
        <v>47</v>
      </c>
      <c r="E56" s="4" t="s">
        <v>36</v>
      </c>
      <c r="F56" s="4" t="s">
        <v>180</v>
      </c>
      <c r="G56" s="4" t="n">
        <v>10</v>
      </c>
      <c r="H56" s="4" t="s">
        <v>170</v>
      </c>
      <c r="I56" s="8" t="n">
        <v>30</v>
      </c>
      <c r="J56" s="8" t="n">
        <v>21.4</v>
      </c>
      <c r="K56" s="9" t="n">
        <f aca="false">MIN(120,J56/I56*100)</f>
        <v>71.3333333333333</v>
      </c>
      <c r="L56" s="9" t="n">
        <f aca="false">K56*G56/100</f>
        <v>7.13333333333333</v>
      </c>
    </row>
    <row r="57" customFormat="false" ht="15" hidden="false" customHeight="false" outlineLevel="0" collapsed="false">
      <c r="A57" s="4" t="s">
        <v>52</v>
      </c>
      <c r="B57" s="4" t="s">
        <v>53</v>
      </c>
      <c r="C57" s="4" t="s">
        <v>5</v>
      </c>
      <c r="D57" s="4" t="s">
        <v>47</v>
      </c>
      <c r="E57" s="4" t="s">
        <v>36</v>
      </c>
      <c r="F57" s="4" t="s">
        <v>181</v>
      </c>
      <c r="G57" s="4" t="n">
        <v>10</v>
      </c>
      <c r="H57" s="4" t="s">
        <v>168</v>
      </c>
      <c r="I57" s="8" t="n">
        <v>94</v>
      </c>
      <c r="J57" s="8" t="n">
        <v>67.2</v>
      </c>
      <c r="K57" s="9" t="n">
        <f aca="false">MIN(120,J57/I57*100)</f>
        <v>71.4893617021277</v>
      </c>
      <c r="L57" s="9" t="n">
        <f aca="false">K57*G57/100</f>
        <v>7.14893617021277</v>
      </c>
    </row>
    <row r="58" customFormat="false" ht="15" hidden="false" customHeight="false" outlineLevel="0" collapsed="false">
      <c r="A58" s="4" t="s">
        <v>54</v>
      </c>
      <c r="B58" s="4" t="s">
        <v>55</v>
      </c>
      <c r="C58" s="4" t="s">
        <v>5</v>
      </c>
      <c r="D58" s="4" t="s">
        <v>47</v>
      </c>
      <c r="E58" s="4" t="s">
        <v>36</v>
      </c>
      <c r="F58" s="4" t="s">
        <v>176</v>
      </c>
      <c r="G58" s="4" t="n">
        <v>30</v>
      </c>
      <c r="H58" s="4" t="s">
        <v>164</v>
      </c>
      <c r="I58" s="8" t="n">
        <v>4900000</v>
      </c>
      <c r="J58" s="8" t="n">
        <v>4710000</v>
      </c>
      <c r="K58" s="9" t="n">
        <f aca="false">MIN(120,J58/I58*100)</f>
        <v>96.1224489795918</v>
      </c>
      <c r="L58" s="9" t="n">
        <f aca="false">K58*G58/100</f>
        <v>28.8367346938776</v>
      </c>
    </row>
    <row r="59" customFormat="false" ht="15" hidden="false" customHeight="false" outlineLevel="0" collapsed="false">
      <c r="A59" s="4" t="s">
        <v>54</v>
      </c>
      <c r="B59" s="4" t="s">
        <v>55</v>
      </c>
      <c r="C59" s="4" t="s">
        <v>5</v>
      </c>
      <c r="D59" s="4" t="s">
        <v>47</v>
      </c>
      <c r="E59" s="4" t="s">
        <v>36</v>
      </c>
      <c r="F59" s="4" t="s">
        <v>177</v>
      </c>
      <c r="G59" s="4" t="n">
        <v>15</v>
      </c>
      <c r="H59" s="4" t="s">
        <v>170</v>
      </c>
      <c r="I59" s="8" t="n">
        <v>31</v>
      </c>
      <c r="J59" s="8" t="n">
        <v>28.9</v>
      </c>
      <c r="K59" s="9" t="n">
        <f aca="false">MIN(120,J59/I59*100)</f>
        <v>93.2258064516129</v>
      </c>
      <c r="L59" s="9" t="n">
        <f aca="false">K59*G59/100</f>
        <v>13.9838709677419</v>
      </c>
    </row>
    <row r="60" customFormat="false" ht="15" hidden="false" customHeight="false" outlineLevel="0" collapsed="false">
      <c r="A60" s="4" t="s">
        <v>54</v>
      </c>
      <c r="B60" s="4" t="s">
        <v>55</v>
      </c>
      <c r="C60" s="4" t="s">
        <v>5</v>
      </c>
      <c r="D60" s="4" t="s">
        <v>47</v>
      </c>
      <c r="E60" s="4" t="s">
        <v>36</v>
      </c>
      <c r="F60" s="4" t="s">
        <v>178</v>
      </c>
      <c r="G60" s="4" t="n">
        <v>15</v>
      </c>
      <c r="H60" s="4" t="s">
        <v>166</v>
      </c>
      <c r="I60" s="8" t="n">
        <v>250</v>
      </c>
      <c r="J60" s="8" t="n">
        <v>205</v>
      </c>
      <c r="K60" s="9" t="n">
        <f aca="false">MIN(120,J60/I60*100)</f>
        <v>82</v>
      </c>
      <c r="L60" s="9" t="n">
        <f aca="false">K60*G60/100</f>
        <v>12.3</v>
      </c>
    </row>
    <row r="61" customFormat="false" ht="15" hidden="false" customHeight="false" outlineLevel="0" collapsed="false">
      <c r="A61" s="4" t="s">
        <v>54</v>
      </c>
      <c r="B61" s="4" t="s">
        <v>55</v>
      </c>
      <c r="C61" s="4" t="s">
        <v>5</v>
      </c>
      <c r="D61" s="4" t="s">
        <v>47</v>
      </c>
      <c r="E61" s="4" t="s">
        <v>36</v>
      </c>
      <c r="F61" s="4" t="s">
        <v>179</v>
      </c>
      <c r="G61" s="4" t="n">
        <v>20</v>
      </c>
      <c r="H61" s="4" t="s">
        <v>168</v>
      </c>
      <c r="I61" s="8" t="n">
        <v>56</v>
      </c>
      <c r="J61" s="8" t="n">
        <v>52.7</v>
      </c>
      <c r="K61" s="9" t="n">
        <f aca="false">MIN(120,J61/I61*100)</f>
        <v>94.1071428571429</v>
      </c>
      <c r="L61" s="9" t="n">
        <f aca="false">K61*G61/100</f>
        <v>18.8214285714286</v>
      </c>
    </row>
    <row r="62" customFormat="false" ht="15" hidden="false" customHeight="false" outlineLevel="0" collapsed="false">
      <c r="A62" s="4" t="s">
        <v>54</v>
      </c>
      <c r="B62" s="4" t="s">
        <v>55</v>
      </c>
      <c r="C62" s="4" t="s">
        <v>5</v>
      </c>
      <c r="D62" s="4" t="s">
        <v>47</v>
      </c>
      <c r="E62" s="4" t="s">
        <v>36</v>
      </c>
      <c r="F62" s="4" t="s">
        <v>180</v>
      </c>
      <c r="G62" s="4" t="n">
        <v>10</v>
      </c>
      <c r="H62" s="4" t="s">
        <v>170</v>
      </c>
      <c r="I62" s="8" t="n">
        <v>27</v>
      </c>
      <c r="J62" s="8" t="n">
        <v>20.6</v>
      </c>
      <c r="K62" s="9" t="n">
        <f aca="false">MIN(120,J62/I62*100)</f>
        <v>76.2962962962963</v>
      </c>
      <c r="L62" s="9" t="n">
        <f aca="false">K62*G62/100</f>
        <v>7.62962962962963</v>
      </c>
    </row>
    <row r="63" customFormat="false" ht="15" hidden="false" customHeight="false" outlineLevel="0" collapsed="false">
      <c r="A63" s="4" t="s">
        <v>54</v>
      </c>
      <c r="B63" s="4" t="s">
        <v>55</v>
      </c>
      <c r="C63" s="4" t="s">
        <v>5</v>
      </c>
      <c r="D63" s="4" t="s">
        <v>47</v>
      </c>
      <c r="E63" s="4" t="s">
        <v>36</v>
      </c>
      <c r="F63" s="4" t="s">
        <v>181</v>
      </c>
      <c r="G63" s="4" t="n">
        <v>10</v>
      </c>
      <c r="H63" s="4" t="s">
        <v>168</v>
      </c>
      <c r="I63" s="8" t="n">
        <v>95</v>
      </c>
      <c r="J63" s="8" t="n">
        <v>76.7</v>
      </c>
      <c r="K63" s="9" t="n">
        <f aca="false">MIN(120,J63/I63*100)</f>
        <v>80.7368421052632</v>
      </c>
      <c r="L63" s="9" t="n">
        <f aca="false">K63*G63/100</f>
        <v>8.07368421052632</v>
      </c>
    </row>
    <row r="64" customFormat="false" ht="15" hidden="false" customHeight="false" outlineLevel="0" collapsed="false">
      <c r="A64" s="4" t="s">
        <v>56</v>
      </c>
      <c r="B64" s="4" t="s">
        <v>57</v>
      </c>
      <c r="C64" s="4" t="s">
        <v>7</v>
      </c>
      <c r="D64" s="4" t="s">
        <v>58</v>
      </c>
      <c r="E64" s="4" t="s">
        <v>36</v>
      </c>
      <c r="F64" s="4" t="s">
        <v>171</v>
      </c>
      <c r="G64" s="4" t="n">
        <v>35</v>
      </c>
      <c r="H64" s="4" t="s">
        <v>164</v>
      </c>
      <c r="I64" s="8" t="n">
        <v>19500000</v>
      </c>
      <c r="J64" s="8" t="n">
        <v>16190000</v>
      </c>
      <c r="K64" s="9" t="n">
        <f aca="false">MIN(120,J64/I64*100)</f>
        <v>83.025641025641</v>
      </c>
      <c r="L64" s="9" t="n">
        <f aca="false">K64*G64/100</f>
        <v>29.0589743589744</v>
      </c>
    </row>
    <row r="65" customFormat="false" ht="15" hidden="false" customHeight="false" outlineLevel="0" collapsed="false">
      <c r="A65" s="4" t="s">
        <v>56</v>
      </c>
      <c r="B65" s="4" t="s">
        <v>57</v>
      </c>
      <c r="C65" s="4" t="s">
        <v>7</v>
      </c>
      <c r="D65" s="4" t="s">
        <v>58</v>
      </c>
      <c r="E65" s="4" t="s">
        <v>36</v>
      </c>
      <c r="F65" s="4" t="s">
        <v>172</v>
      </c>
      <c r="G65" s="4" t="n">
        <v>20</v>
      </c>
      <c r="H65" s="4" t="s">
        <v>168</v>
      </c>
      <c r="I65" s="8" t="n">
        <v>90</v>
      </c>
      <c r="J65" s="8" t="n">
        <v>87</v>
      </c>
      <c r="K65" s="9" t="n">
        <f aca="false">MIN(120,J65/I65*100)</f>
        <v>96.6666666666667</v>
      </c>
      <c r="L65" s="9" t="n">
        <f aca="false">K65*G65/100</f>
        <v>19.3333333333333</v>
      </c>
    </row>
    <row r="66" customFormat="false" ht="15" hidden="false" customHeight="false" outlineLevel="0" collapsed="false">
      <c r="A66" s="4" t="s">
        <v>56</v>
      </c>
      <c r="B66" s="4" t="s">
        <v>57</v>
      </c>
      <c r="C66" s="4" t="s">
        <v>7</v>
      </c>
      <c r="D66" s="4" t="s">
        <v>58</v>
      </c>
      <c r="E66" s="4" t="s">
        <v>36</v>
      </c>
      <c r="F66" s="4" t="s">
        <v>173</v>
      </c>
      <c r="G66" s="4" t="n">
        <v>20</v>
      </c>
      <c r="H66" s="4" t="s">
        <v>168</v>
      </c>
      <c r="I66" s="8" t="n">
        <v>57</v>
      </c>
      <c r="J66" s="8" t="n">
        <v>51.9</v>
      </c>
      <c r="K66" s="9" t="n">
        <f aca="false">MIN(120,J66/I66*100)</f>
        <v>91.0526315789474</v>
      </c>
      <c r="L66" s="9" t="n">
        <f aca="false">K66*G66/100</f>
        <v>18.2105263157895</v>
      </c>
    </row>
    <row r="67" customFormat="false" ht="15" hidden="false" customHeight="false" outlineLevel="0" collapsed="false">
      <c r="A67" s="4" t="s">
        <v>56</v>
      </c>
      <c r="B67" s="4" t="s">
        <v>57</v>
      </c>
      <c r="C67" s="4" t="s">
        <v>7</v>
      </c>
      <c r="D67" s="4" t="s">
        <v>58</v>
      </c>
      <c r="E67" s="4" t="s">
        <v>36</v>
      </c>
      <c r="F67" s="4" t="s">
        <v>174</v>
      </c>
      <c r="G67" s="4" t="n">
        <v>15</v>
      </c>
      <c r="H67" s="4" t="s">
        <v>170</v>
      </c>
      <c r="I67" s="8" t="n">
        <v>83</v>
      </c>
      <c r="J67" s="8" t="n">
        <v>67.4</v>
      </c>
      <c r="K67" s="9" t="n">
        <f aca="false">MIN(120,J67/I67*100)</f>
        <v>81.2048192771084</v>
      </c>
      <c r="L67" s="9" t="n">
        <f aca="false">K67*G67/100</f>
        <v>12.1807228915663</v>
      </c>
    </row>
    <row r="68" customFormat="false" ht="15" hidden="false" customHeight="false" outlineLevel="0" collapsed="false">
      <c r="A68" s="4" t="s">
        <v>56</v>
      </c>
      <c r="B68" s="4" t="s">
        <v>57</v>
      </c>
      <c r="C68" s="4" t="s">
        <v>7</v>
      </c>
      <c r="D68" s="4" t="s">
        <v>58</v>
      </c>
      <c r="E68" s="4" t="s">
        <v>36</v>
      </c>
      <c r="F68" s="4" t="s">
        <v>175</v>
      </c>
      <c r="G68" s="4" t="n">
        <v>10</v>
      </c>
      <c r="H68" s="4" t="s">
        <v>168</v>
      </c>
      <c r="I68" s="8" t="n">
        <v>64</v>
      </c>
      <c r="J68" s="8" t="n">
        <v>60.2</v>
      </c>
      <c r="K68" s="9" t="n">
        <f aca="false">MIN(120,J68/I68*100)</f>
        <v>94.0625</v>
      </c>
      <c r="L68" s="9" t="n">
        <f aca="false">K68*G68/100</f>
        <v>9.40625</v>
      </c>
    </row>
    <row r="69" customFormat="false" ht="15" hidden="false" customHeight="false" outlineLevel="0" collapsed="false">
      <c r="A69" s="4" t="s">
        <v>59</v>
      </c>
      <c r="B69" s="4" t="s">
        <v>60</v>
      </c>
      <c r="C69" s="4" t="s">
        <v>5</v>
      </c>
      <c r="D69" s="4" t="s">
        <v>58</v>
      </c>
      <c r="E69" s="4" t="s">
        <v>36</v>
      </c>
      <c r="F69" s="4" t="s">
        <v>176</v>
      </c>
      <c r="G69" s="4" t="n">
        <v>30</v>
      </c>
      <c r="H69" s="4" t="s">
        <v>164</v>
      </c>
      <c r="I69" s="8" t="n">
        <v>4400000</v>
      </c>
      <c r="J69" s="8" t="n">
        <v>3870000</v>
      </c>
      <c r="K69" s="9" t="n">
        <f aca="false">MIN(120,J69/I69*100)</f>
        <v>87.9545454545455</v>
      </c>
      <c r="L69" s="9" t="n">
        <f aca="false">K69*G69/100</f>
        <v>26.3863636363636</v>
      </c>
    </row>
    <row r="70" customFormat="false" ht="15" hidden="false" customHeight="false" outlineLevel="0" collapsed="false">
      <c r="A70" s="4" t="s">
        <v>59</v>
      </c>
      <c r="B70" s="4" t="s">
        <v>60</v>
      </c>
      <c r="C70" s="4" t="s">
        <v>5</v>
      </c>
      <c r="D70" s="4" t="s">
        <v>58</v>
      </c>
      <c r="E70" s="4" t="s">
        <v>36</v>
      </c>
      <c r="F70" s="4" t="s">
        <v>177</v>
      </c>
      <c r="G70" s="4" t="n">
        <v>15</v>
      </c>
      <c r="H70" s="4" t="s">
        <v>170</v>
      </c>
      <c r="I70" s="8" t="n">
        <v>33</v>
      </c>
      <c r="J70" s="8" t="n">
        <v>31.9</v>
      </c>
      <c r="K70" s="9" t="n">
        <f aca="false">MIN(120,J70/I70*100)</f>
        <v>96.6666666666667</v>
      </c>
      <c r="L70" s="9" t="n">
        <f aca="false">K70*G70/100</f>
        <v>14.5</v>
      </c>
    </row>
    <row r="71" customFormat="false" ht="15" hidden="false" customHeight="false" outlineLevel="0" collapsed="false">
      <c r="A71" s="4" t="s">
        <v>59</v>
      </c>
      <c r="B71" s="4" t="s">
        <v>60</v>
      </c>
      <c r="C71" s="4" t="s">
        <v>5</v>
      </c>
      <c r="D71" s="4" t="s">
        <v>58</v>
      </c>
      <c r="E71" s="4" t="s">
        <v>36</v>
      </c>
      <c r="F71" s="4" t="s">
        <v>178</v>
      </c>
      <c r="G71" s="4" t="n">
        <v>15</v>
      </c>
      <c r="H71" s="4" t="s">
        <v>166</v>
      </c>
      <c r="I71" s="8" t="n">
        <v>230</v>
      </c>
      <c r="J71" s="8" t="n">
        <v>173</v>
      </c>
      <c r="K71" s="9" t="n">
        <f aca="false">MIN(120,J71/I71*100)</f>
        <v>75.2173913043478</v>
      </c>
      <c r="L71" s="9" t="n">
        <f aca="false">K71*G71/100</f>
        <v>11.2826086956522</v>
      </c>
    </row>
    <row r="72" customFormat="false" ht="15" hidden="false" customHeight="false" outlineLevel="0" collapsed="false">
      <c r="A72" s="4" t="s">
        <v>59</v>
      </c>
      <c r="B72" s="4" t="s">
        <v>60</v>
      </c>
      <c r="C72" s="4" t="s">
        <v>5</v>
      </c>
      <c r="D72" s="4" t="s">
        <v>58</v>
      </c>
      <c r="E72" s="4" t="s">
        <v>36</v>
      </c>
      <c r="F72" s="4" t="s">
        <v>179</v>
      </c>
      <c r="G72" s="4" t="n">
        <v>20</v>
      </c>
      <c r="H72" s="4" t="s">
        <v>168</v>
      </c>
      <c r="I72" s="8" t="n">
        <v>65</v>
      </c>
      <c r="J72" s="8" t="n">
        <v>52.9</v>
      </c>
      <c r="K72" s="9" t="n">
        <f aca="false">MIN(120,J72/I72*100)</f>
        <v>81.3846153846154</v>
      </c>
      <c r="L72" s="9" t="n">
        <f aca="false">K72*G72/100</f>
        <v>16.2769230769231</v>
      </c>
    </row>
    <row r="73" customFormat="false" ht="15" hidden="false" customHeight="false" outlineLevel="0" collapsed="false">
      <c r="A73" s="4" t="s">
        <v>59</v>
      </c>
      <c r="B73" s="4" t="s">
        <v>60</v>
      </c>
      <c r="C73" s="4" t="s">
        <v>5</v>
      </c>
      <c r="D73" s="4" t="s">
        <v>58</v>
      </c>
      <c r="E73" s="4" t="s">
        <v>36</v>
      </c>
      <c r="F73" s="4" t="s">
        <v>180</v>
      </c>
      <c r="G73" s="4" t="n">
        <v>10</v>
      </c>
      <c r="H73" s="4" t="s">
        <v>170</v>
      </c>
      <c r="I73" s="8" t="n">
        <v>28</v>
      </c>
      <c r="J73" s="8" t="n">
        <v>28.1</v>
      </c>
      <c r="K73" s="9" t="n">
        <f aca="false">MIN(120,J73/I73*100)</f>
        <v>100.357142857143</v>
      </c>
      <c r="L73" s="9" t="n">
        <f aca="false">K73*G73/100</f>
        <v>10.0357142857143</v>
      </c>
    </row>
    <row r="74" customFormat="false" ht="15" hidden="false" customHeight="false" outlineLevel="0" collapsed="false">
      <c r="A74" s="4" t="s">
        <v>59</v>
      </c>
      <c r="B74" s="4" t="s">
        <v>60</v>
      </c>
      <c r="C74" s="4" t="s">
        <v>5</v>
      </c>
      <c r="D74" s="4" t="s">
        <v>58</v>
      </c>
      <c r="E74" s="4" t="s">
        <v>36</v>
      </c>
      <c r="F74" s="4" t="s">
        <v>181</v>
      </c>
      <c r="G74" s="4" t="n">
        <v>10</v>
      </c>
      <c r="H74" s="4" t="s">
        <v>168</v>
      </c>
      <c r="I74" s="8" t="n">
        <v>87</v>
      </c>
      <c r="J74" s="8" t="n">
        <v>78.4</v>
      </c>
      <c r="K74" s="9" t="n">
        <f aca="false">MIN(120,J74/I74*100)</f>
        <v>90.1149425287356</v>
      </c>
      <c r="L74" s="9" t="n">
        <f aca="false">K74*G74/100</f>
        <v>9.01149425287357</v>
      </c>
    </row>
    <row r="75" customFormat="false" ht="15" hidden="false" customHeight="false" outlineLevel="0" collapsed="false">
      <c r="A75" s="4" t="s">
        <v>61</v>
      </c>
      <c r="B75" s="4" t="s">
        <v>62</v>
      </c>
      <c r="C75" s="4" t="s">
        <v>5</v>
      </c>
      <c r="D75" s="4" t="s">
        <v>58</v>
      </c>
      <c r="E75" s="4" t="s">
        <v>36</v>
      </c>
      <c r="F75" s="4" t="s">
        <v>176</v>
      </c>
      <c r="G75" s="4" t="n">
        <v>30</v>
      </c>
      <c r="H75" s="4" t="s">
        <v>164</v>
      </c>
      <c r="I75" s="8" t="n">
        <v>4400000</v>
      </c>
      <c r="J75" s="8" t="n">
        <v>2680000</v>
      </c>
      <c r="K75" s="9" t="n">
        <f aca="false">MIN(120,J75/I75*100)</f>
        <v>60.9090909090909</v>
      </c>
      <c r="L75" s="9" t="n">
        <f aca="false">K75*G75/100</f>
        <v>18.2727272727273</v>
      </c>
    </row>
    <row r="76" customFormat="false" ht="15" hidden="false" customHeight="false" outlineLevel="0" collapsed="false">
      <c r="A76" s="4" t="s">
        <v>61</v>
      </c>
      <c r="B76" s="4" t="s">
        <v>62</v>
      </c>
      <c r="C76" s="4" t="s">
        <v>5</v>
      </c>
      <c r="D76" s="4" t="s">
        <v>58</v>
      </c>
      <c r="E76" s="4" t="s">
        <v>36</v>
      </c>
      <c r="F76" s="4" t="s">
        <v>177</v>
      </c>
      <c r="G76" s="4" t="n">
        <v>15</v>
      </c>
      <c r="H76" s="4" t="s">
        <v>170</v>
      </c>
      <c r="I76" s="8" t="n">
        <v>32</v>
      </c>
      <c r="J76" s="8" t="n">
        <v>20.5</v>
      </c>
      <c r="K76" s="9" t="n">
        <f aca="false">MIN(120,J76/I76*100)</f>
        <v>64.0625</v>
      </c>
      <c r="L76" s="9" t="n">
        <f aca="false">K76*G76/100</f>
        <v>9.609375</v>
      </c>
    </row>
    <row r="77" customFormat="false" ht="15" hidden="false" customHeight="false" outlineLevel="0" collapsed="false">
      <c r="A77" s="4" t="s">
        <v>61</v>
      </c>
      <c r="B77" s="4" t="s">
        <v>62</v>
      </c>
      <c r="C77" s="4" t="s">
        <v>5</v>
      </c>
      <c r="D77" s="4" t="s">
        <v>58</v>
      </c>
      <c r="E77" s="4" t="s">
        <v>36</v>
      </c>
      <c r="F77" s="4" t="s">
        <v>178</v>
      </c>
      <c r="G77" s="4" t="n">
        <v>15</v>
      </c>
      <c r="H77" s="4" t="s">
        <v>166</v>
      </c>
      <c r="I77" s="8" t="n">
        <v>220</v>
      </c>
      <c r="J77" s="8" t="n">
        <v>138</v>
      </c>
      <c r="K77" s="9" t="n">
        <f aca="false">MIN(120,J77/I77*100)</f>
        <v>62.7272727272727</v>
      </c>
      <c r="L77" s="9" t="n">
        <f aca="false">K77*G77/100</f>
        <v>9.40909090909091</v>
      </c>
    </row>
    <row r="78" customFormat="false" ht="15" hidden="false" customHeight="false" outlineLevel="0" collapsed="false">
      <c r="A78" s="4" t="s">
        <v>61</v>
      </c>
      <c r="B78" s="4" t="s">
        <v>62</v>
      </c>
      <c r="C78" s="4" t="s">
        <v>5</v>
      </c>
      <c r="D78" s="4" t="s">
        <v>58</v>
      </c>
      <c r="E78" s="4" t="s">
        <v>36</v>
      </c>
      <c r="F78" s="4" t="s">
        <v>179</v>
      </c>
      <c r="G78" s="4" t="n">
        <v>20</v>
      </c>
      <c r="H78" s="4" t="s">
        <v>168</v>
      </c>
      <c r="I78" s="8" t="n">
        <v>56</v>
      </c>
      <c r="J78" s="8" t="n">
        <v>27.1</v>
      </c>
      <c r="K78" s="9" t="n">
        <f aca="false">MIN(120,J78/I78*100)</f>
        <v>48.3928571428571</v>
      </c>
      <c r="L78" s="9" t="n">
        <f aca="false">K78*G78/100</f>
        <v>9.67857142857143</v>
      </c>
    </row>
    <row r="79" customFormat="false" ht="15" hidden="false" customHeight="false" outlineLevel="0" collapsed="false">
      <c r="A79" s="4" t="s">
        <v>61</v>
      </c>
      <c r="B79" s="4" t="s">
        <v>62</v>
      </c>
      <c r="C79" s="4" t="s">
        <v>5</v>
      </c>
      <c r="D79" s="4" t="s">
        <v>58</v>
      </c>
      <c r="E79" s="4" t="s">
        <v>36</v>
      </c>
      <c r="F79" s="4" t="s">
        <v>180</v>
      </c>
      <c r="G79" s="4" t="n">
        <v>10</v>
      </c>
      <c r="H79" s="4" t="s">
        <v>170</v>
      </c>
      <c r="I79" s="8" t="n">
        <v>28</v>
      </c>
      <c r="J79" s="8" t="n">
        <v>15.8</v>
      </c>
      <c r="K79" s="9" t="n">
        <f aca="false">MIN(120,J79/I79*100)</f>
        <v>56.4285714285714</v>
      </c>
      <c r="L79" s="9" t="n">
        <f aca="false">K79*G79/100</f>
        <v>5.64285714285714</v>
      </c>
    </row>
    <row r="80" customFormat="false" ht="15" hidden="false" customHeight="false" outlineLevel="0" collapsed="false">
      <c r="A80" s="4" t="s">
        <v>61</v>
      </c>
      <c r="B80" s="4" t="s">
        <v>62</v>
      </c>
      <c r="C80" s="4" t="s">
        <v>5</v>
      </c>
      <c r="D80" s="4" t="s">
        <v>58</v>
      </c>
      <c r="E80" s="4" t="s">
        <v>36</v>
      </c>
      <c r="F80" s="4" t="s">
        <v>181</v>
      </c>
      <c r="G80" s="4" t="n">
        <v>10</v>
      </c>
      <c r="H80" s="4" t="s">
        <v>168</v>
      </c>
      <c r="I80" s="8" t="n">
        <v>102</v>
      </c>
      <c r="J80" s="8" t="n">
        <v>60.4</v>
      </c>
      <c r="K80" s="9" t="n">
        <f aca="false">MIN(120,J80/I80*100)</f>
        <v>59.2156862745098</v>
      </c>
      <c r="L80" s="9" t="n">
        <f aca="false">K80*G80/100</f>
        <v>5.92156862745098</v>
      </c>
    </row>
    <row r="81" customFormat="false" ht="15" hidden="false" customHeight="false" outlineLevel="0" collapsed="false">
      <c r="A81" s="4" t="s">
        <v>63</v>
      </c>
      <c r="B81" s="4" t="s">
        <v>64</v>
      </c>
      <c r="C81" s="4" t="s">
        <v>5</v>
      </c>
      <c r="D81" s="4" t="s">
        <v>58</v>
      </c>
      <c r="E81" s="4" t="s">
        <v>36</v>
      </c>
      <c r="F81" s="4" t="s">
        <v>176</v>
      </c>
      <c r="G81" s="4" t="n">
        <v>30</v>
      </c>
      <c r="H81" s="4" t="s">
        <v>164</v>
      </c>
      <c r="I81" s="8" t="n">
        <v>4900000</v>
      </c>
      <c r="J81" s="8" t="n">
        <v>4750000</v>
      </c>
      <c r="K81" s="9" t="n">
        <f aca="false">MIN(120,J81/I81*100)</f>
        <v>96.9387755102041</v>
      </c>
      <c r="L81" s="9" t="n">
        <f aca="false">K81*G81/100</f>
        <v>29.0816326530612</v>
      </c>
    </row>
    <row r="82" customFormat="false" ht="15" hidden="false" customHeight="false" outlineLevel="0" collapsed="false">
      <c r="A82" s="4" t="s">
        <v>63</v>
      </c>
      <c r="B82" s="4" t="s">
        <v>64</v>
      </c>
      <c r="C82" s="4" t="s">
        <v>5</v>
      </c>
      <c r="D82" s="4" t="s">
        <v>58</v>
      </c>
      <c r="E82" s="4" t="s">
        <v>36</v>
      </c>
      <c r="F82" s="4" t="s">
        <v>177</v>
      </c>
      <c r="G82" s="4" t="n">
        <v>15</v>
      </c>
      <c r="H82" s="4" t="s">
        <v>170</v>
      </c>
      <c r="I82" s="8" t="n">
        <v>30</v>
      </c>
      <c r="J82" s="8" t="n">
        <v>26.6</v>
      </c>
      <c r="K82" s="9" t="n">
        <f aca="false">MIN(120,J82/I82*100)</f>
        <v>88.6666666666667</v>
      </c>
      <c r="L82" s="9" t="n">
        <f aca="false">K82*G82/100</f>
        <v>13.3</v>
      </c>
    </row>
    <row r="83" customFormat="false" ht="15" hidden="false" customHeight="false" outlineLevel="0" collapsed="false">
      <c r="A83" s="4" t="s">
        <v>63</v>
      </c>
      <c r="B83" s="4" t="s">
        <v>64</v>
      </c>
      <c r="C83" s="4" t="s">
        <v>5</v>
      </c>
      <c r="D83" s="4" t="s">
        <v>58</v>
      </c>
      <c r="E83" s="4" t="s">
        <v>36</v>
      </c>
      <c r="F83" s="4" t="s">
        <v>178</v>
      </c>
      <c r="G83" s="4" t="n">
        <v>15</v>
      </c>
      <c r="H83" s="4" t="s">
        <v>166</v>
      </c>
      <c r="I83" s="8" t="n">
        <v>260</v>
      </c>
      <c r="J83" s="8" t="n">
        <v>265</v>
      </c>
      <c r="K83" s="9" t="n">
        <f aca="false">MIN(120,J83/I83*100)</f>
        <v>101.923076923077</v>
      </c>
      <c r="L83" s="9" t="n">
        <f aca="false">K83*G83/100</f>
        <v>15.2884615384615</v>
      </c>
    </row>
    <row r="84" customFormat="false" ht="15" hidden="false" customHeight="false" outlineLevel="0" collapsed="false">
      <c r="A84" s="4" t="s">
        <v>63</v>
      </c>
      <c r="B84" s="4" t="s">
        <v>64</v>
      </c>
      <c r="C84" s="4" t="s">
        <v>5</v>
      </c>
      <c r="D84" s="4" t="s">
        <v>58</v>
      </c>
      <c r="E84" s="4" t="s">
        <v>36</v>
      </c>
      <c r="F84" s="4" t="s">
        <v>179</v>
      </c>
      <c r="G84" s="4" t="n">
        <v>20</v>
      </c>
      <c r="H84" s="4" t="s">
        <v>168</v>
      </c>
      <c r="I84" s="8" t="n">
        <v>61</v>
      </c>
      <c r="J84" s="8" t="n">
        <v>57.9</v>
      </c>
      <c r="K84" s="9" t="n">
        <f aca="false">MIN(120,J84/I84*100)</f>
        <v>94.9180327868853</v>
      </c>
      <c r="L84" s="9" t="n">
        <f aca="false">K84*G84/100</f>
        <v>18.9836065573771</v>
      </c>
    </row>
    <row r="85" customFormat="false" ht="15" hidden="false" customHeight="false" outlineLevel="0" collapsed="false">
      <c r="A85" s="4" t="s">
        <v>63</v>
      </c>
      <c r="B85" s="4" t="s">
        <v>64</v>
      </c>
      <c r="C85" s="4" t="s">
        <v>5</v>
      </c>
      <c r="D85" s="4" t="s">
        <v>58</v>
      </c>
      <c r="E85" s="4" t="s">
        <v>36</v>
      </c>
      <c r="F85" s="4" t="s">
        <v>180</v>
      </c>
      <c r="G85" s="4" t="n">
        <v>10</v>
      </c>
      <c r="H85" s="4" t="s">
        <v>170</v>
      </c>
      <c r="I85" s="8" t="n">
        <v>26</v>
      </c>
      <c r="J85" s="8" t="n">
        <v>26.3</v>
      </c>
      <c r="K85" s="9" t="n">
        <f aca="false">MIN(120,J85/I85*100)</f>
        <v>101.153846153846</v>
      </c>
      <c r="L85" s="9" t="n">
        <f aca="false">K85*G85/100</f>
        <v>10.1153846153846</v>
      </c>
    </row>
    <row r="86" customFormat="false" ht="15" hidden="false" customHeight="false" outlineLevel="0" collapsed="false">
      <c r="A86" s="4" t="s">
        <v>63</v>
      </c>
      <c r="B86" s="4" t="s">
        <v>64</v>
      </c>
      <c r="C86" s="4" t="s">
        <v>5</v>
      </c>
      <c r="D86" s="4" t="s">
        <v>58</v>
      </c>
      <c r="E86" s="4" t="s">
        <v>36</v>
      </c>
      <c r="F86" s="4" t="s">
        <v>181</v>
      </c>
      <c r="G86" s="4" t="n">
        <v>10</v>
      </c>
      <c r="H86" s="4" t="s">
        <v>168</v>
      </c>
      <c r="I86" s="8" t="n">
        <v>96</v>
      </c>
      <c r="J86" s="8" t="n">
        <v>91.1</v>
      </c>
      <c r="K86" s="9" t="n">
        <f aca="false">MIN(120,J86/I86*100)</f>
        <v>94.8958333333333</v>
      </c>
      <c r="L86" s="9" t="n">
        <f aca="false">K86*G86/100</f>
        <v>9.48958333333333</v>
      </c>
    </row>
    <row r="87" customFormat="false" ht="15" hidden="false" customHeight="false" outlineLevel="0" collapsed="false">
      <c r="A87" s="4" t="s">
        <v>65</v>
      </c>
      <c r="B87" s="4" t="s">
        <v>66</v>
      </c>
      <c r="C87" s="4" t="s">
        <v>7</v>
      </c>
      <c r="D87" s="4" t="s">
        <v>67</v>
      </c>
      <c r="E87" s="4" t="s">
        <v>68</v>
      </c>
      <c r="F87" s="4" t="s">
        <v>171</v>
      </c>
      <c r="G87" s="4" t="n">
        <v>35</v>
      </c>
      <c r="H87" s="4" t="s">
        <v>164</v>
      </c>
      <c r="I87" s="8" t="n">
        <v>17400000</v>
      </c>
      <c r="J87" s="8" t="n">
        <v>16380000</v>
      </c>
      <c r="K87" s="9" t="n">
        <f aca="false">MIN(120,J87/I87*100)</f>
        <v>94.1379310344828</v>
      </c>
      <c r="L87" s="9" t="n">
        <f aca="false">K87*G87/100</f>
        <v>32.948275862069</v>
      </c>
    </row>
    <row r="88" customFormat="false" ht="15" hidden="false" customHeight="false" outlineLevel="0" collapsed="false">
      <c r="A88" s="4" t="s">
        <v>65</v>
      </c>
      <c r="B88" s="4" t="s">
        <v>66</v>
      </c>
      <c r="C88" s="4" t="s">
        <v>7</v>
      </c>
      <c r="D88" s="4" t="s">
        <v>67</v>
      </c>
      <c r="E88" s="4" t="s">
        <v>68</v>
      </c>
      <c r="F88" s="4" t="s">
        <v>172</v>
      </c>
      <c r="G88" s="4" t="n">
        <v>20</v>
      </c>
      <c r="H88" s="4" t="s">
        <v>168</v>
      </c>
      <c r="I88" s="8" t="n">
        <v>86</v>
      </c>
      <c r="J88" s="8" t="n">
        <v>69.4</v>
      </c>
      <c r="K88" s="9" t="n">
        <f aca="false">MIN(120,J88/I88*100)</f>
        <v>80.6976744186047</v>
      </c>
      <c r="L88" s="9" t="n">
        <f aca="false">K88*G88/100</f>
        <v>16.1395348837209</v>
      </c>
    </row>
    <row r="89" customFormat="false" ht="15" hidden="false" customHeight="false" outlineLevel="0" collapsed="false">
      <c r="A89" s="4" t="s">
        <v>65</v>
      </c>
      <c r="B89" s="4" t="s">
        <v>66</v>
      </c>
      <c r="C89" s="4" t="s">
        <v>7</v>
      </c>
      <c r="D89" s="4" t="s">
        <v>67</v>
      </c>
      <c r="E89" s="4" t="s">
        <v>68</v>
      </c>
      <c r="F89" s="4" t="s">
        <v>173</v>
      </c>
      <c r="G89" s="4" t="n">
        <v>20</v>
      </c>
      <c r="H89" s="4" t="s">
        <v>168</v>
      </c>
      <c r="I89" s="8" t="n">
        <v>62</v>
      </c>
      <c r="J89" s="8" t="n">
        <v>53.1</v>
      </c>
      <c r="K89" s="9" t="n">
        <f aca="false">MIN(120,J89/I89*100)</f>
        <v>85.6451612903226</v>
      </c>
      <c r="L89" s="9" t="n">
        <f aca="false">K89*G89/100</f>
        <v>17.1290322580645</v>
      </c>
    </row>
    <row r="90" customFormat="false" ht="15" hidden="false" customHeight="false" outlineLevel="0" collapsed="false">
      <c r="A90" s="4" t="s">
        <v>65</v>
      </c>
      <c r="B90" s="4" t="s">
        <v>66</v>
      </c>
      <c r="C90" s="4" t="s">
        <v>7</v>
      </c>
      <c r="D90" s="4" t="s">
        <v>67</v>
      </c>
      <c r="E90" s="4" t="s">
        <v>68</v>
      </c>
      <c r="F90" s="4" t="s">
        <v>174</v>
      </c>
      <c r="G90" s="4" t="n">
        <v>15</v>
      </c>
      <c r="H90" s="4" t="s">
        <v>170</v>
      </c>
      <c r="I90" s="8" t="n">
        <v>89</v>
      </c>
      <c r="J90" s="8" t="n">
        <v>71.4</v>
      </c>
      <c r="K90" s="9" t="n">
        <f aca="false">MIN(120,J90/I90*100)</f>
        <v>80.2247191011236</v>
      </c>
      <c r="L90" s="9" t="n">
        <f aca="false">K90*G90/100</f>
        <v>12.0337078651685</v>
      </c>
    </row>
    <row r="91" customFormat="false" ht="15" hidden="false" customHeight="false" outlineLevel="0" collapsed="false">
      <c r="A91" s="4" t="s">
        <v>65</v>
      </c>
      <c r="B91" s="4" t="s">
        <v>66</v>
      </c>
      <c r="C91" s="4" t="s">
        <v>7</v>
      </c>
      <c r="D91" s="4" t="s">
        <v>67</v>
      </c>
      <c r="E91" s="4" t="s">
        <v>68</v>
      </c>
      <c r="F91" s="4" t="s">
        <v>175</v>
      </c>
      <c r="G91" s="4" t="n">
        <v>10</v>
      </c>
      <c r="H91" s="4" t="s">
        <v>168</v>
      </c>
      <c r="I91" s="8" t="n">
        <v>71</v>
      </c>
      <c r="J91" s="8" t="n">
        <v>61.3</v>
      </c>
      <c r="K91" s="9" t="n">
        <f aca="false">MIN(120,J91/I91*100)</f>
        <v>86.3380281690141</v>
      </c>
      <c r="L91" s="9" t="n">
        <f aca="false">K91*G91/100</f>
        <v>8.63380281690141</v>
      </c>
    </row>
    <row r="92" customFormat="false" ht="15" hidden="false" customHeight="false" outlineLevel="0" collapsed="false">
      <c r="A92" s="4" t="s">
        <v>69</v>
      </c>
      <c r="B92" s="4" t="s">
        <v>70</v>
      </c>
      <c r="C92" s="4" t="s">
        <v>5</v>
      </c>
      <c r="D92" s="4" t="s">
        <v>67</v>
      </c>
      <c r="E92" s="4" t="s">
        <v>68</v>
      </c>
      <c r="F92" s="4" t="s">
        <v>176</v>
      </c>
      <c r="G92" s="4" t="n">
        <v>30</v>
      </c>
      <c r="H92" s="4" t="s">
        <v>164</v>
      </c>
      <c r="I92" s="8" t="n">
        <v>4800000</v>
      </c>
      <c r="J92" s="8" t="n">
        <v>3860000</v>
      </c>
      <c r="K92" s="9" t="n">
        <f aca="false">MIN(120,J92/I92*100)</f>
        <v>80.4166666666667</v>
      </c>
      <c r="L92" s="9" t="n">
        <f aca="false">K92*G92/100</f>
        <v>24.125</v>
      </c>
    </row>
    <row r="93" customFormat="false" ht="15" hidden="false" customHeight="false" outlineLevel="0" collapsed="false">
      <c r="A93" s="4" t="s">
        <v>69</v>
      </c>
      <c r="B93" s="4" t="s">
        <v>70</v>
      </c>
      <c r="C93" s="4" t="s">
        <v>5</v>
      </c>
      <c r="D93" s="4" t="s">
        <v>67</v>
      </c>
      <c r="E93" s="4" t="s">
        <v>68</v>
      </c>
      <c r="F93" s="4" t="s">
        <v>177</v>
      </c>
      <c r="G93" s="4" t="n">
        <v>15</v>
      </c>
      <c r="H93" s="4" t="s">
        <v>170</v>
      </c>
      <c r="I93" s="8" t="n">
        <v>30</v>
      </c>
      <c r="J93" s="8" t="n">
        <v>27.9</v>
      </c>
      <c r="K93" s="9" t="n">
        <f aca="false">MIN(120,J93/I93*100)</f>
        <v>93</v>
      </c>
      <c r="L93" s="9" t="n">
        <f aca="false">K93*G93/100</f>
        <v>13.95</v>
      </c>
    </row>
    <row r="94" customFormat="false" ht="15" hidden="false" customHeight="false" outlineLevel="0" collapsed="false">
      <c r="A94" s="4" t="s">
        <v>69</v>
      </c>
      <c r="B94" s="4" t="s">
        <v>70</v>
      </c>
      <c r="C94" s="4" t="s">
        <v>5</v>
      </c>
      <c r="D94" s="4" t="s">
        <v>67</v>
      </c>
      <c r="E94" s="4" t="s">
        <v>68</v>
      </c>
      <c r="F94" s="4" t="s">
        <v>178</v>
      </c>
      <c r="G94" s="4" t="n">
        <v>15</v>
      </c>
      <c r="H94" s="4" t="s">
        <v>166</v>
      </c>
      <c r="I94" s="8" t="n">
        <v>250</v>
      </c>
      <c r="J94" s="8" t="n">
        <v>202</v>
      </c>
      <c r="K94" s="9" t="n">
        <f aca="false">MIN(120,J94/I94*100)</f>
        <v>80.8</v>
      </c>
      <c r="L94" s="9" t="n">
        <f aca="false">K94*G94/100</f>
        <v>12.12</v>
      </c>
    </row>
    <row r="95" customFormat="false" ht="15" hidden="false" customHeight="false" outlineLevel="0" collapsed="false">
      <c r="A95" s="4" t="s">
        <v>69</v>
      </c>
      <c r="B95" s="4" t="s">
        <v>70</v>
      </c>
      <c r="C95" s="4" t="s">
        <v>5</v>
      </c>
      <c r="D95" s="4" t="s">
        <v>67</v>
      </c>
      <c r="E95" s="4" t="s">
        <v>68</v>
      </c>
      <c r="F95" s="4" t="s">
        <v>179</v>
      </c>
      <c r="G95" s="4" t="n">
        <v>20</v>
      </c>
      <c r="H95" s="4" t="s">
        <v>168</v>
      </c>
      <c r="I95" s="8" t="n">
        <v>59</v>
      </c>
      <c r="J95" s="8" t="n">
        <v>53.1</v>
      </c>
      <c r="K95" s="9" t="n">
        <f aca="false">MIN(120,J95/I95*100)</f>
        <v>90</v>
      </c>
      <c r="L95" s="9" t="n">
        <f aca="false">K95*G95/100</f>
        <v>18</v>
      </c>
    </row>
    <row r="96" customFormat="false" ht="15" hidden="false" customHeight="false" outlineLevel="0" collapsed="false">
      <c r="A96" s="4" t="s">
        <v>69</v>
      </c>
      <c r="B96" s="4" t="s">
        <v>70</v>
      </c>
      <c r="C96" s="4" t="s">
        <v>5</v>
      </c>
      <c r="D96" s="4" t="s">
        <v>67</v>
      </c>
      <c r="E96" s="4" t="s">
        <v>68</v>
      </c>
      <c r="F96" s="4" t="s">
        <v>180</v>
      </c>
      <c r="G96" s="4" t="n">
        <v>10</v>
      </c>
      <c r="H96" s="4" t="s">
        <v>170</v>
      </c>
      <c r="I96" s="8" t="n">
        <v>28</v>
      </c>
      <c r="J96" s="8" t="n">
        <v>26.1</v>
      </c>
      <c r="K96" s="9" t="n">
        <f aca="false">MIN(120,J96/I96*100)</f>
        <v>93.2142857142857</v>
      </c>
      <c r="L96" s="9" t="n">
        <f aca="false">K96*G96/100</f>
        <v>9.32142857142857</v>
      </c>
    </row>
    <row r="97" customFormat="false" ht="15" hidden="false" customHeight="false" outlineLevel="0" collapsed="false">
      <c r="A97" s="4" t="s">
        <v>69</v>
      </c>
      <c r="B97" s="4" t="s">
        <v>70</v>
      </c>
      <c r="C97" s="4" t="s">
        <v>5</v>
      </c>
      <c r="D97" s="4" t="s">
        <v>67</v>
      </c>
      <c r="E97" s="4" t="s">
        <v>68</v>
      </c>
      <c r="F97" s="4" t="s">
        <v>181</v>
      </c>
      <c r="G97" s="4" t="n">
        <v>10</v>
      </c>
      <c r="H97" s="4" t="s">
        <v>168</v>
      </c>
      <c r="I97" s="8" t="n">
        <v>105</v>
      </c>
      <c r="J97" s="8" t="n">
        <v>96.1</v>
      </c>
      <c r="K97" s="9" t="n">
        <f aca="false">MIN(120,J97/I97*100)</f>
        <v>91.5238095238095</v>
      </c>
      <c r="L97" s="9" t="n">
        <f aca="false">K97*G97/100</f>
        <v>9.15238095238095</v>
      </c>
    </row>
    <row r="98" customFormat="false" ht="15" hidden="false" customHeight="false" outlineLevel="0" collapsed="false">
      <c r="A98" s="4" t="s">
        <v>71</v>
      </c>
      <c r="B98" s="4" t="s">
        <v>72</v>
      </c>
      <c r="C98" s="4" t="s">
        <v>5</v>
      </c>
      <c r="D98" s="4" t="s">
        <v>67</v>
      </c>
      <c r="E98" s="4" t="s">
        <v>68</v>
      </c>
      <c r="F98" s="4" t="s">
        <v>176</v>
      </c>
      <c r="G98" s="4" t="n">
        <v>30</v>
      </c>
      <c r="H98" s="4" t="s">
        <v>164</v>
      </c>
      <c r="I98" s="8" t="n">
        <v>4600000</v>
      </c>
      <c r="J98" s="8" t="n">
        <v>3410000</v>
      </c>
      <c r="K98" s="9" t="n">
        <f aca="false">MIN(120,J98/I98*100)</f>
        <v>74.1304347826087</v>
      </c>
      <c r="L98" s="9" t="n">
        <f aca="false">K98*G98/100</f>
        <v>22.2391304347826</v>
      </c>
    </row>
    <row r="99" customFormat="false" ht="15" hidden="false" customHeight="false" outlineLevel="0" collapsed="false">
      <c r="A99" s="4" t="s">
        <v>71</v>
      </c>
      <c r="B99" s="4" t="s">
        <v>72</v>
      </c>
      <c r="C99" s="4" t="s">
        <v>5</v>
      </c>
      <c r="D99" s="4" t="s">
        <v>67</v>
      </c>
      <c r="E99" s="4" t="s">
        <v>68</v>
      </c>
      <c r="F99" s="4" t="s">
        <v>177</v>
      </c>
      <c r="G99" s="4" t="n">
        <v>15</v>
      </c>
      <c r="H99" s="4" t="s">
        <v>170</v>
      </c>
      <c r="I99" s="8" t="n">
        <v>33</v>
      </c>
      <c r="J99" s="8" t="n">
        <v>27.1</v>
      </c>
      <c r="K99" s="9" t="n">
        <f aca="false">MIN(120,J99/I99*100)</f>
        <v>82.1212121212121</v>
      </c>
      <c r="L99" s="9" t="n">
        <f aca="false">K99*G99/100</f>
        <v>12.3181818181818</v>
      </c>
    </row>
    <row r="100" customFormat="false" ht="15" hidden="false" customHeight="false" outlineLevel="0" collapsed="false">
      <c r="A100" s="4" t="s">
        <v>71</v>
      </c>
      <c r="B100" s="4" t="s">
        <v>72</v>
      </c>
      <c r="C100" s="4" t="s">
        <v>5</v>
      </c>
      <c r="D100" s="4" t="s">
        <v>67</v>
      </c>
      <c r="E100" s="4" t="s">
        <v>68</v>
      </c>
      <c r="F100" s="4" t="s">
        <v>178</v>
      </c>
      <c r="G100" s="4" t="n">
        <v>15</v>
      </c>
      <c r="H100" s="4" t="s">
        <v>166</v>
      </c>
      <c r="I100" s="8" t="n">
        <v>220</v>
      </c>
      <c r="J100" s="8" t="n">
        <v>198</v>
      </c>
      <c r="K100" s="9" t="n">
        <f aca="false">MIN(120,J100/I100*100)</f>
        <v>90</v>
      </c>
      <c r="L100" s="9" t="n">
        <f aca="false">K100*G100/100</f>
        <v>13.5</v>
      </c>
    </row>
    <row r="101" customFormat="false" ht="15" hidden="false" customHeight="false" outlineLevel="0" collapsed="false">
      <c r="A101" s="4" t="s">
        <v>71</v>
      </c>
      <c r="B101" s="4" t="s">
        <v>72</v>
      </c>
      <c r="C101" s="4" t="s">
        <v>5</v>
      </c>
      <c r="D101" s="4" t="s">
        <v>67</v>
      </c>
      <c r="E101" s="4" t="s">
        <v>68</v>
      </c>
      <c r="F101" s="4" t="s">
        <v>179</v>
      </c>
      <c r="G101" s="4" t="n">
        <v>20</v>
      </c>
      <c r="H101" s="4" t="s">
        <v>168</v>
      </c>
      <c r="I101" s="8" t="n">
        <v>57</v>
      </c>
      <c r="J101" s="8" t="n">
        <v>42.7</v>
      </c>
      <c r="K101" s="9" t="n">
        <f aca="false">MIN(120,J101/I101*100)</f>
        <v>74.9122807017544</v>
      </c>
      <c r="L101" s="9" t="n">
        <f aca="false">K101*G101/100</f>
        <v>14.9824561403509</v>
      </c>
    </row>
    <row r="102" customFormat="false" ht="15" hidden="false" customHeight="false" outlineLevel="0" collapsed="false">
      <c r="A102" s="4" t="s">
        <v>71</v>
      </c>
      <c r="B102" s="4" t="s">
        <v>72</v>
      </c>
      <c r="C102" s="4" t="s">
        <v>5</v>
      </c>
      <c r="D102" s="4" t="s">
        <v>67</v>
      </c>
      <c r="E102" s="4" t="s">
        <v>68</v>
      </c>
      <c r="F102" s="4" t="s">
        <v>180</v>
      </c>
      <c r="G102" s="4" t="n">
        <v>10</v>
      </c>
      <c r="H102" s="4" t="s">
        <v>170</v>
      </c>
      <c r="I102" s="8" t="n">
        <v>30</v>
      </c>
      <c r="J102" s="8" t="n">
        <v>21.3</v>
      </c>
      <c r="K102" s="9" t="n">
        <f aca="false">MIN(120,J102/I102*100)</f>
        <v>71</v>
      </c>
      <c r="L102" s="9" t="n">
        <f aca="false">K102*G102/100</f>
        <v>7.1</v>
      </c>
    </row>
    <row r="103" customFormat="false" ht="15" hidden="false" customHeight="false" outlineLevel="0" collapsed="false">
      <c r="A103" s="4" t="s">
        <v>71</v>
      </c>
      <c r="B103" s="4" t="s">
        <v>72</v>
      </c>
      <c r="C103" s="4" t="s">
        <v>5</v>
      </c>
      <c r="D103" s="4" t="s">
        <v>67</v>
      </c>
      <c r="E103" s="4" t="s">
        <v>68</v>
      </c>
      <c r="F103" s="4" t="s">
        <v>181</v>
      </c>
      <c r="G103" s="4" t="n">
        <v>10</v>
      </c>
      <c r="H103" s="4" t="s">
        <v>168</v>
      </c>
      <c r="I103" s="8" t="n">
        <v>87</v>
      </c>
      <c r="J103" s="8" t="n">
        <v>79.1</v>
      </c>
      <c r="K103" s="9" t="n">
        <f aca="false">MIN(120,J103/I103*100)</f>
        <v>90.9195402298851</v>
      </c>
      <c r="L103" s="9" t="n">
        <f aca="false">K103*G103/100</f>
        <v>9.09195402298851</v>
      </c>
    </row>
    <row r="104" customFormat="false" ht="15" hidden="false" customHeight="false" outlineLevel="0" collapsed="false">
      <c r="A104" s="4" t="s">
        <v>73</v>
      </c>
      <c r="B104" s="4" t="s">
        <v>74</v>
      </c>
      <c r="C104" s="4" t="s">
        <v>5</v>
      </c>
      <c r="D104" s="4" t="s">
        <v>67</v>
      </c>
      <c r="E104" s="4" t="s">
        <v>68</v>
      </c>
      <c r="F104" s="4" t="s">
        <v>176</v>
      </c>
      <c r="G104" s="4" t="n">
        <v>30</v>
      </c>
      <c r="H104" s="4" t="s">
        <v>164</v>
      </c>
      <c r="I104" s="8" t="n">
        <v>4600000</v>
      </c>
      <c r="J104" s="8" t="n">
        <v>3140000</v>
      </c>
      <c r="K104" s="9" t="n">
        <f aca="false">MIN(120,J104/I104*100)</f>
        <v>68.2608695652174</v>
      </c>
      <c r="L104" s="9" t="n">
        <f aca="false">K104*G104/100</f>
        <v>20.4782608695652</v>
      </c>
    </row>
    <row r="105" customFormat="false" ht="15" hidden="false" customHeight="false" outlineLevel="0" collapsed="false">
      <c r="A105" s="4" t="s">
        <v>73</v>
      </c>
      <c r="B105" s="4" t="s">
        <v>74</v>
      </c>
      <c r="C105" s="4" t="s">
        <v>5</v>
      </c>
      <c r="D105" s="4" t="s">
        <v>67</v>
      </c>
      <c r="E105" s="4" t="s">
        <v>68</v>
      </c>
      <c r="F105" s="4" t="s">
        <v>177</v>
      </c>
      <c r="G105" s="4" t="n">
        <v>15</v>
      </c>
      <c r="H105" s="4" t="s">
        <v>170</v>
      </c>
      <c r="I105" s="8" t="n">
        <v>32</v>
      </c>
      <c r="J105" s="8" t="n">
        <v>22.6</v>
      </c>
      <c r="K105" s="9" t="n">
        <f aca="false">MIN(120,J105/I105*100)</f>
        <v>70.625</v>
      </c>
      <c r="L105" s="9" t="n">
        <f aca="false">K105*G105/100</f>
        <v>10.59375</v>
      </c>
    </row>
    <row r="106" customFormat="false" ht="15" hidden="false" customHeight="false" outlineLevel="0" collapsed="false">
      <c r="A106" s="4" t="s">
        <v>73</v>
      </c>
      <c r="B106" s="4" t="s">
        <v>74</v>
      </c>
      <c r="C106" s="4" t="s">
        <v>5</v>
      </c>
      <c r="D106" s="4" t="s">
        <v>67</v>
      </c>
      <c r="E106" s="4" t="s">
        <v>68</v>
      </c>
      <c r="F106" s="4" t="s">
        <v>178</v>
      </c>
      <c r="G106" s="4" t="n">
        <v>15</v>
      </c>
      <c r="H106" s="4" t="s">
        <v>166</v>
      </c>
      <c r="I106" s="8" t="n">
        <v>240</v>
      </c>
      <c r="J106" s="8" t="n">
        <v>162</v>
      </c>
      <c r="K106" s="9" t="n">
        <f aca="false">MIN(120,J106/I106*100)</f>
        <v>67.5</v>
      </c>
      <c r="L106" s="9" t="n">
        <f aca="false">K106*G106/100</f>
        <v>10.125</v>
      </c>
    </row>
    <row r="107" customFormat="false" ht="15" hidden="false" customHeight="false" outlineLevel="0" collapsed="false">
      <c r="A107" s="4" t="s">
        <v>73</v>
      </c>
      <c r="B107" s="4" t="s">
        <v>74</v>
      </c>
      <c r="C107" s="4" t="s">
        <v>5</v>
      </c>
      <c r="D107" s="4" t="s">
        <v>67</v>
      </c>
      <c r="E107" s="4" t="s">
        <v>68</v>
      </c>
      <c r="F107" s="4" t="s">
        <v>179</v>
      </c>
      <c r="G107" s="4" t="n">
        <v>20</v>
      </c>
      <c r="H107" s="4" t="s">
        <v>168</v>
      </c>
      <c r="I107" s="8" t="n">
        <v>59</v>
      </c>
      <c r="J107" s="8" t="n">
        <v>36.2</v>
      </c>
      <c r="K107" s="9" t="n">
        <f aca="false">MIN(120,J107/I107*100)</f>
        <v>61.3559322033898</v>
      </c>
      <c r="L107" s="9" t="n">
        <f aca="false">K107*G107/100</f>
        <v>12.271186440678</v>
      </c>
    </row>
    <row r="108" customFormat="false" ht="15" hidden="false" customHeight="false" outlineLevel="0" collapsed="false">
      <c r="A108" s="4" t="s">
        <v>73</v>
      </c>
      <c r="B108" s="4" t="s">
        <v>74</v>
      </c>
      <c r="C108" s="4" t="s">
        <v>5</v>
      </c>
      <c r="D108" s="4" t="s">
        <v>67</v>
      </c>
      <c r="E108" s="4" t="s">
        <v>68</v>
      </c>
      <c r="F108" s="4" t="s">
        <v>180</v>
      </c>
      <c r="G108" s="4" t="n">
        <v>10</v>
      </c>
      <c r="H108" s="4" t="s">
        <v>170</v>
      </c>
      <c r="I108" s="8" t="n">
        <v>26</v>
      </c>
      <c r="J108" s="8" t="n">
        <v>17.4</v>
      </c>
      <c r="K108" s="9" t="n">
        <f aca="false">MIN(120,J108/I108*100)</f>
        <v>66.9230769230769</v>
      </c>
      <c r="L108" s="9" t="n">
        <f aca="false">K108*G108/100</f>
        <v>6.69230769230769</v>
      </c>
    </row>
    <row r="109" customFormat="false" ht="15" hidden="false" customHeight="false" outlineLevel="0" collapsed="false">
      <c r="A109" s="4" t="s">
        <v>73</v>
      </c>
      <c r="B109" s="4" t="s">
        <v>74</v>
      </c>
      <c r="C109" s="4" t="s">
        <v>5</v>
      </c>
      <c r="D109" s="4" t="s">
        <v>67</v>
      </c>
      <c r="E109" s="4" t="s">
        <v>68</v>
      </c>
      <c r="F109" s="4" t="s">
        <v>181</v>
      </c>
      <c r="G109" s="4" t="n">
        <v>10</v>
      </c>
      <c r="H109" s="4" t="s">
        <v>168</v>
      </c>
      <c r="I109" s="8" t="n">
        <v>104</v>
      </c>
      <c r="J109" s="8" t="n">
        <v>72.9</v>
      </c>
      <c r="K109" s="9" t="n">
        <f aca="false">MIN(120,J109/I109*100)</f>
        <v>70.0961538461539</v>
      </c>
      <c r="L109" s="9" t="n">
        <f aca="false">K109*G109/100</f>
        <v>7.00961538461539</v>
      </c>
    </row>
    <row r="110" customFormat="false" ht="15" hidden="false" customHeight="false" outlineLevel="0" collapsed="false">
      <c r="A110" s="4" t="s">
        <v>75</v>
      </c>
      <c r="B110" s="4" t="s">
        <v>76</v>
      </c>
      <c r="C110" s="4" t="s">
        <v>5</v>
      </c>
      <c r="D110" s="4" t="s">
        <v>67</v>
      </c>
      <c r="E110" s="4" t="s">
        <v>68</v>
      </c>
      <c r="F110" s="4" t="s">
        <v>176</v>
      </c>
      <c r="G110" s="4" t="n">
        <v>30</v>
      </c>
      <c r="H110" s="4" t="s">
        <v>164</v>
      </c>
      <c r="I110" s="8" t="n">
        <v>4800000</v>
      </c>
      <c r="J110" s="8" t="n">
        <v>5710000</v>
      </c>
      <c r="K110" s="9" t="n">
        <f aca="false">MIN(120,J110/I110*100)</f>
        <v>118.958333333333</v>
      </c>
      <c r="L110" s="9" t="n">
        <f aca="false">K110*G110/100</f>
        <v>35.6875</v>
      </c>
    </row>
    <row r="111" customFormat="false" ht="15" hidden="false" customHeight="false" outlineLevel="0" collapsed="false">
      <c r="A111" s="4" t="s">
        <v>75</v>
      </c>
      <c r="B111" s="4" t="s">
        <v>76</v>
      </c>
      <c r="C111" s="4" t="s">
        <v>5</v>
      </c>
      <c r="D111" s="4" t="s">
        <v>67</v>
      </c>
      <c r="E111" s="4" t="s">
        <v>68</v>
      </c>
      <c r="F111" s="4" t="s">
        <v>177</v>
      </c>
      <c r="G111" s="4" t="n">
        <v>15</v>
      </c>
      <c r="H111" s="4" t="s">
        <v>170</v>
      </c>
      <c r="I111" s="8" t="n">
        <v>30</v>
      </c>
      <c r="J111" s="8" t="n">
        <v>35.9</v>
      </c>
      <c r="K111" s="9" t="n">
        <f aca="false">MIN(120,J111/I111*100)</f>
        <v>119.666666666667</v>
      </c>
      <c r="L111" s="9" t="n">
        <f aca="false">K111*G111/100</f>
        <v>17.95</v>
      </c>
    </row>
    <row r="112" customFormat="false" ht="15" hidden="false" customHeight="false" outlineLevel="0" collapsed="false">
      <c r="A112" s="4" t="s">
        <v>75</v>
      </c>
      <c r="B112" s="4" t="s">
        <v>76</v>
      </c>
      <c r="C112" s="4" t="s">
        <v>5</v>
      </c>
      <c r="D112" s="4" t="s">
        <v>67</v>
      </c>
      <c r="E112" s="4" t="s">
        <v>68</v>
      </c>
      <c r="F112" s="4" t="s">
        <v>178</v>
      </c>
      <c r="G112" s="4" t="n">
        <v>15</v>
      </c>
      <c r="H112" s="4" t="s">
        <v>166</v>
      </c>
      <c r="I112" s="8" t="n">
        <v>250</v>
      </c>
      <c r="J112" s="8" t="n">
        <v>271</v>
      </c>
      <c r="K112" s="9" t="n">
        <f aca="false">MIN(120,J112/I112*100)</f>
        <v>108.4</v>
      </c>
      <c r="L112" s="9" t="n">
        <f aca="false">K112*G112/100</f>
        <v>16.26</v>
      </c>
    </row>
    <row r="113" customFormat="false" ht="15" hidden="false" customHeight="false" outlineLevel="0" collapsed="false">
      <c r="A113" s="4" t="s">
        <v>75</v>
      </c>
      <c r="B113" s="4" t="s">
        <v>76</v>
      </c>
      <c r="C113" s="4" t="s">
        <v>5</v>
      </c>
      <c r="D113" s="4" t="s">
        <v>67</v>
      </c>
      <c r="E113" s="4" t="s">
        <v>68</v>
      </c>
      <c r="F113" s="4" t="s">
        <v>179</v>
      </c>
      <c r="G113" s="4" t="n">
        <v>20</v>
      </c>
      <c r="H113" s="4" t="s">
        <v>168</v>
      </c>
      <c r="I113" s="8" t="n">
        <v>61</v>
      </c>
      <c r="J113" s="8" t="n">
        <v>75.3</v>
      </c>
      <c r="K113" s="9" t="n">
        <f aca="false">MIN(120,J113/I113*100)</f>
        <v>120</v>
      </c>
      <c r="L113" s="9" t="n">
        <f aca="false">K113*G113/100</f>
        <v>24</v>
      </c>
    </row>
    <row r="114" customFormat="false" ht="15" hidden="false" customHeight="false" outlineLevel="0" collapsed="false">
      <c r="A114" s="4" t="s">
        <v>75</v>
      </c>
      <c r="B114" s="4" t="s">
        <v>76</v>
      </c>
      <c r="C114" s="4" t="s">
        <v>5</v>
      </c>
      <c r="D114" s="4" t="s">
        <v>67</v>
      </c>
      <c r="E114" s="4" t="s">
        <v>68</v>
      </c>
      <c r="F114" s="4" t="s">
        <v>180</v>
      </c>
      <c r="G114" s="4" t="n">
        <v>10</v>
      </c>
      <c r="H114" s="4" t="s">
        <v>170</v>
      </c>
      <c r="I114" s="8" t="n">
        <v>26</v>
      </c>
      <c r="J114" s="8" t="n">
        <v>25.4</v>
      </c>
      <c r="K114" s="9" t="n">
        <f aca="false">MIN(120,J114/I114*100)</f>
        <v>97.6923076923077</v>
      </c>
      <c r="L114" s="9" t="n">
        <f aca="false">K114*G114/100</f>
        <v>9.76923076923077</v>
      </c>
    </row>
    <row r="115" customFormat="false" ht="15" hidden="false" customHeight="false" outlineLevel="0" collapsed="false">
      <c r="A115" s="4" t="s">
        <v>75</v>
      </c>
      <c r="B115" s="4" t="s">
        <v>76</v>
      </c>
      <c r="C115" s="4" t="s">
        <v>5</v>
      </c>
      <c r="D115" s="4" t="s">
        <v>67</v>
      </c>
      <c r="E115" s="4" t="s">
        <v>68</v>
      </c>
      <c r="F115" s="4" t="s">
        <v>181</v>
      </c>
      <c r="G115" s="4" t="n">
        <v>10</v>
      </c>
      <c r="H115" s="4" t="s">
        <v>168</v>
      </c>
      <c r="I115" s="8" t="n">
        <v>95</v>
      </c>
      <c r="J115" s="8" t="n">
        <v>105.2</v>
      </c>
      <c r="K115" s="9" t="n">
        <f aca="false">MIN(120,J115/I115*100)</f>
        <v>110.736842105263</v>
      </c>
      <c r="L115" s="9" t="n">
        <f aca="false">K115*G115/100</f>
        <v>11.0736842105263</v>
      </c>
    </row>
    <row r="116" customFormat="false" ht="15" hidden="false" customHeight="false" outlineLevel="0" collapsed="false">
      <c r="A116" s="4" t="s">
        <v>77</v>
      </c>
      <c r="B116" s="4" t="s">
        <v>78</v>
      </c>
      <c r="C116" s="4" t="s">
        <v>7</v>
      </c>
      <c r="D116" s="4" t="s">
        <v>79</v>
      </c>
      <c r="E116" s="4" t="s">
        <v>68</v>
      </c>
      <c r="F116" s="4" t="s">
        <v>171</v>
      </c>
      <c r="G116" s="4" t="n">
        <v>35</v>
      </c>
      <c r="H116" s="4" t="s">
        <v>164</v>
      </c>
      <c r="I116" s="8" t="n">
        <v>18200000</v>
      </c>
      <c r="J116" s="8" t="n">
        <v>15130000</v>
      </c>
      <c r="K116" s="9" t="n">
        <f aca="false">MIN(120,J116/I116*100)</f>
        <v>83.1318681318681</v>
      </c>
      <c r="L116" s="9" t="n">
        <f aca="false">K116*G116/100</f>
        <v>29.0961538461538</v>
      </c>
    </row>
    <row r="117" customFormat="false" ht="15" hidden="false" customHeight="false" outlineLevel="0" collapsed="false">
      <c r="A117" s="4" t="s">
        <v>77</v>
      </c>
      <c r="B117" s="4" t="s">
        <v>78</v>
      </c>
      <c r="C117" s="4" t="s">
        <v>7</v>
      </c>
      <c r="D117" s="4" t="s">
        <v>79</v>
      </c>
      <c r="E117" s="4" t="s">
        <v>68</v>
      </c>
      <c r="F117" s="4" t="s">
        <v>172</v>
      </c>
      <c r="G117" s="4" t="n">
        <v>20</v>
      </c>
      <c r="H117" s="4" t="s">
        <v>168</v>
      </c>
      <c r="I117" s="8" t="n">
        <v>89</v>
      </c>
      <c r="J117" s="8" t="n">
        <v>76.9</v>
      </c>
      <c r="K117" s="9" t="n">
        <f aca="false">MIN(120,J117/I117*100)</f>
        <v>86.4044943820225</v>
      </c>
      <c r="L117" s="9" t="n">
        <f aca="false">K117*G117/100</f>
        <v>17.2808988764045</v>
      </c>
    </row>
    <row r="118" customFormat="false" ht="15" hidden="false" customHeight="false" outlineLevel="0" collapsed="false">
      <c r="A118" s="4" t="s">
        <v>77</v>
      </c>
      <c r="B118" s="4" t="s">
        <v>78</v>
      </c>
      <c r="C118" s="4" t="s">
        <v>7</v>
      </c>
      <c r="D118" s="4" t="s">
        <v>79</v>
      </c>
      <c r="E118" s="4" t="s">
        <v>68</v>
      </c>
      <c r="F118" s="4" t="s">
        <v>173</v>
      </c>
      <c r="G118" s="4" t="n">
        <v>20</v>
      </c>
      <c r="H118" s="4" t="s">
        <v>168</v>
      </c>
      <c r="I118" s="8" t="n">
        <v>64</v>
      </c>
      <c r="J118" s="8" t="n">
        <v>62.9</v>
      </c>
      <c r="K118" s="9" t="n">
        <f aca="false">MIN(120,J118/I118*100)</f>
        <v>98.28125</v>
      </c>
      <c r="L118" s="9" t="n">
        <f aca="false">K118*G118/100</f>
        <v>19.65625</v>
      </c>
    </row>
    <row r="119" customFormat="false" ht="15" hidden="false" customHeight="false" outlineLevel="0" collapsed="false">
      <c r="A119" s="4" t="s">
        <v>77</v>
      </c>
      <c r="B119" s="4" t="s">
        <v>78</v>
      </c>
      <c r="C119" s="4" t="s">
        <v>7</v>
      </c>
      <c r="D119" s="4" t="s">
        <v>79</v>
      </c>
      <c r="E119" s="4" t="s">
        <v>68</v>
      </c>
      <c r="F119" s="4" t="s">
        <v>174</v>
      </c>
      <c r="G119" s="4" t="n">
        <v>15</v>
      </c>
      <c r="H119" s="4" t="s">
        <v>170</v>
      </c>
      <c r="I119" s="8" t="n">
        <v>84</v>
      </c>
      <c r="J119" s="8" t="n">
        <v>82.9</v>
      </c>
      <c r="K119" s="9" t="n">
        <f aca="false">MIN(120,J119/I119*100)</f>
        <v>98.6904761904762</v>
      </c>
      <c r="L119" s="9" t="n">
        <f aca="false">K119*G119/100</f>
        <v>14.8035714285714</v>
      </c>
    </row>
    <row r="120" customFormat="false" ht="15" hidden="false" customHeight="false" outlineLevel="0" collapsed="false">
      <c r="A120" s="4" t="s">
        <v>77</v>
      </c>
      <c r="B120" s="4" t="s">
        <v>78</v>
      </c>
      <c r="C120" s="4" t="s">
        <v>7</v>
      </c>
      <c r="D120" s="4" t="s">
        <v>79</v>
      </c>
      <c r="E120" s="4" t="s">
        <v>68</v>
      </c>
      <c r="F120" s="4" t="s">
        <v>175</v>
      </c>
      <c r="G120" s="4" t="n">
        <v>10</v>
      </c>
      <c r="H120" s="4" t="s">
        <v>168</v>
      </c>
      <c r="I120" s="8" t="n">
        <v>69</v>
      </c>
      <c r="J120" s="8" t="n">
        <v>54.5</v>
      </c>
      <c r="K120" s="9" t="n">
        <f aca="false">MIN(120,J120/I120*100)</f>
        <v>78.9855072463768</v>
      </c>
      <c r="L120" s="9" t="n">
        <f aca="false">K120*G120/100</f>
        <v>7.89855072463768</v>
      </c>
    </row>
    <row r="121" customFormat="false" ht="15" hidden="false" customHeight="false" outlineLevel="0" collapsed="false">
      <c r="A121" s="4" t="s">
        <v>80</v>
      </c>
      <c r="B121" s="4" t="s">
        <v>81</v>
      </c>
      <c r="C121" s="4" t="s">
        <v>5</v>
      </c>
      <c r="D121" s="4" t="s">
        <v>79</v>
      </c>
      <c r="E121" s="4" t="s">
        <v>68</v>
      </c>
      <c r="F121" s="4" t="s">
        <v>176</v>
      </c>
      <c r="G121" s="4" t="n">
        <v>30</v>
      </c>
      <c r="H121" s="4" t="s">
        <v>164</v>
      </c>
      <c r="I121" s="8" t="n">
        <v>4800000</v>
      </c>
      <c r="J121" s="8" t="n">
        <v>5250000</v>
      </c>
      <c r="K121" s="9" t="n">
        <f aca="false">MIN(120,J121/I121*100)</f>
        <v>109.375</v>
      </c>
      <c r="L121" s="9" t="n">
        <f aca="false">K121*G121/100</f>
        <v>32.8125</v>
      </c>
    </row>
    <row r="122" customFormat="false" ht="15" hidden="false" customHeight="false" outlineLevel="0" collapsed="false">
      <c r="A122" s="4" t="s">
        <v>80</v>
      </c>
      <c r="B122" s="4" t="s">
        <v>81</v>
      </c>
      <c r="C122" s="4" t="s">
        <v>5</v>
      </c>
      <c r="D122" s="4" t="s">
        <v>79</v>
      </c>
      <c r="E122" s="4" t="s">
        <v>68</v>
      </c>
      <c r="F122" s="4" t="s">
        <v>177</v>
      </c>
      <c r="G122" s="4" t="n">
        <v>15</v>
      </c>
      <c r="H122" s="4" t="s">
        <v>170</v>
      </c>
      <c r="I122" s="8" t="n">
        <v>34</v>
      </c>
      <c r="J122" s="8" t="n">
        <v>41.6</v>
      </c>
      <c r="K122" s="9" t="n">
        <f aca="false">MIN(120,J122/I122*100)</f>
        <v>120</v>
      </c>
      <c r="L122" s="9" t="n">
        <f aca="false">K122*G122/100</f>
        <v>18</v>
      </c>
    </row>
    <row r="123" customFormat="false" ht="15" hidden="false" customHeight="false" outlineLevel="0" collapsed="false">
      <c r="A123" s="4" t="s">
        <v>80</v>
      </c>
      <c r="B123" s="4" t="s">
        <v>81</v>
      </c>
      <c r="C123" s="4" t="s">
        <v>5</v>
      </c>
      <c r="D123" s="4" t="s">
        <v>79</v>
      </c>
      <c r="E123" s="4" t="s">
        <v>68</v>
      </c>
      <c r="F123" s="4" t="s">
        <v>178</v>
      </c>
      <c r="G123" s="4" t="n">
        <v>15</v>
      </c>
      <c r="H123" s="4" t="s">
        <v>166</v>
      </c>
      <c r="I123" s="8" t="n">
        <v>230</v>
      </c>
      <c r="J123" s="8" t="n">
        <v>276</v>
      </c>
      <c r="K123" s="9" t="n">
        <f aca="false">MIN(120,J123/I123*100)</f>
        <v>120</v>
      </c>
      <c r="L123" s="9" t="n">
        <f aca="false">K123*G123/100</f>
        <v>18</v>
      </c>
    </row>
    <row r="124" customFormat="false" ht="15" hidden="false" customHeight="false" outlineLevel="0" collapsed="false">
      <c r="A124" s="4" t="s">
        <v>80</v>
      </c>
      <c r="B124" s="4" t="s">
        <v>81</v>
      </c>
      <c r="C124" s="4" t="s">
        <v>5</v>
      </c>
      <c r="D124" s="4" t="s">
        <v>79</v>
      </c>
      <c r="E124" s="4" t="s">
        <v>68</v>
      </c>
      <c r="F124" s="4" t="s">
        <v>179</v>
      </c>
      <c r="G124" s="4" t="n">
        <v>20</v>
      </c>
      <c r="H124" s="4" t="s">
        <v>168</v>
      </c>
      <c r="I124" s="8" t="n">
        <v>60</v>
      </c>
      <c r="J124" s="8" t="n">
        <v>61.4</v>
      </c>
      <c r="K124" s="9" t="n">
        <f aca="false">MIN(120,J124/I124*100)</f>
        <v>102.333333333333</v>
      </c>
      <c r="L124" s="9" t="n">
        <f aca="false">K124*G124/100</f>
        <v>20.4666666666667</v>
      </c>
    </row>
    <row r="125" customFormat="false" ht="15" hidden="false" customHeight="false" outlineLevel="0" collapsed="false">
      <c r="A125" s="4" t="s">
        <v>80</v>
      </c>
      <c r="B125" s="4" t="s">
        <v>81</v>
      </c>
      <c r="C125" s="4" t="s">
        <v>5</v>
      </c>
      <c r="D125" s="4" t="s">
        <v>79</v>
      </c>
      <c r="E125" s="4" t="s">
        <v>68</v>
      </c>
      <c r="F125" s="4" t="s">
        <v>180</v>
      </c>
      <c r="G125" s="4" t="n">
        <v>10</v>
      </c>
      <c r="H125" s="4" t="s">
        <v>170</v>
      </c>
      <c r="I125" s="8" t="n">
        <v>28</v>
      </c>
      <c r="J125" s="8" t="n">
        <v>33.1</v>
      </c>
      <c r="K125" s="9" t="n">
        <f aca="false">MIN(120,J125/I125*100)</f>
        <v>118.214285714286</v>
      </c>
      <c r="L125" s="9" t="n">
        <f aca="false">K125*G125/100</f>
        <v>11.8214285714286</v>
      </c>
    </row>
    <row r="126" customFormat="false" ht="15" hidden="false" customHeight="false" outlineLevel="0" collapsed="false">
      <c r="A126" s="4" t="s">
        <v>80</v>
      </c>
      <c r="B126" s="4" t="s">
        <v>81</v>
      </c>
      <c r="C126" s="4" t="s">
        <v>5</v>
      </c>
      <c r="D126" s="4" t="s">
        <v>79</v>
      </c>
      <c r="E126" s="4" t="s">
        <v>68</v>
      </c>
      <c r="F126" s="4" t="s">
        <v>181</v>
      </c>
      <c r="G126" s="4" t="n">
        <v>10</v>
      </c>
      <c r="H126" s="4" t="s">
        <v>168</v>
      </c>
      <c r="I126" s="8" t="n">
        <v>91</v>
      </c>
      <c r="J126" s="8" t="n">
        <v>96</v>
      </c>
      <c r="K126" s="9" t="n">
        <f aca="false">MIN(120,J126/I126*100)</f>
        <v>105.494505494506</v>
      </c>
      <c r="L126" s="9" t="n">
        <f aca="false">K126*G126/100</f>
        <v>10.5494505494506</v>
      </c>
    </row>
    <row r="127" customFormat="false" ht="15" hidden="false" customHeight="false" outlineLevel="0" collapsed="false">
      <c r="A127" s="4" t="s">
        <v>82</v>
      </c>
      <c r="B127" s="4" t="s">
        <v>83</v>
      </c>
      <c r="C127" s="4" t="s">
        <v>5</v>
      </c>
      <c r="D127" s="4" t="s">
        <v>79</v>
      </c>
      <c r="E127" s="4" t="s">
        <v>68</v>
      </c>
      <c r="F127" s="4" t="s">
        <v>176</v>
      </c>
      <c r="G127" s="4" t="n">
        <v>30</v>
      </c>
      <c r="H127" s="4" t="s">
        <v>164</v>
      </c>
      <c r="I127" s="8" t="n">
        <v>4900000</v>
      </c>
      <c r="J127" s="8" t="n">
        <v>4900000</v>
      </c>
      <c r="K127" s="9" t="n">
        <f aca="false">MIN(120,J127/I127*100)</f>
        <v>100</v>
      </c>
      <c r="L127" s="9" t="n">
        <f aca="false">K127*G127/100</f>
        <v>30</v>
      </c>
    </row>
    <row r="128" customFormat="false" ht="15" hidden="false" customHeight="false" outlineLevel="0" collapsed="false">
      <c r="A128" s="4" t="s">
        <v>82</v>
      </c>
      <c r="B128" s="4" t="s">
        <v>83</v>
      </c>
      <c r="C128" s="4" t="s">
        <v>5</v>
      </c>
      <c r="D128" s="4" t="s">
        <v>79</v>
      </c>
      <c r="E128" s="4" t="s">
        <v>68</v>
      </c>
      <c r="F128" s="4" t="s">
        <v>177</v>
      </c>
      <c r="G128" s="4" t="n">
        <v>15</v>
      </c>
      <c r="H128" s="4" t="s">
        <v>170</v>
      </c>
      <c r="I128" s="8" t="n">
        <v>30</v>
      </c>
      <c r="J128" s="8" t="n">
        <v>33.1</v>
      </c>
      <c r="K128" s="9" t="n">
        <f aca="false">MIN(120,J128/I128*100)</f>
        <v>110.333333333333</v>
      </c>
      <c r="L128" s="9" t="n">
        <f aca="false">K128*G128/100</f>
        <v>16.55</v>
      </c>
    </row>
    <row r="129" customFormat="false" ht="15" hidden="false" customHeight="false" outlineLevel="0" collapsed="false">
      <c r="A129" s="4" t="s">
        <v>82</v>
      </c>
      <c r="B129" s="4" t="s">
        <v>83</v>
      </c>
      <c r="C129" s="4" t="s">
        <v>5</v>
      </c>
      <c r="D129" s="4" t="s">
        <v>79</v>
      </c>
      <c r="E129" s="4" t="s">
        <v>68</v>
      </c>
      <c r="F129" s="4" t="s">
        <v>178</v>
      </c>
      <c r="G129" s="4" t="n">
        <v>15</v>
      </c>
      <c r="H129" s="4" t="s">
        <v>166</v>
      </c>
      <c r="I129" s="8" t="n">
        <v>220</v>
      </c>
      <c r="J129" s="8" t="n">
        <v>230</v>
      </c>
      <c r="K129" s="9" t="n">
        <f aca="false">MIN(120,J129/I129*100)</f>
        <v>104.545454545455</v>
      </c>
      <c r="L129" s="9" t="n">
        <f aca="false">K129*G129/100</f>
        <v>15.6818181818182</v>
      </c>
    </row>
    <row r="130" customFormat="false" ht="15" hidden="false" customHeight="false" outlineLevel="0" collapsed="false">
      <c r="A130" s="4" t="s">
        <v>82</v>
      </c>
      <c r="B130" s="4" t="s">
        <v>83</v>
      </c>
      <c r="C130" s="4" t="s">
        <v>5</v>
      </c>
      <c r="D130" s="4" t="s">
        <v>79</v>
      </c>
      <c r="E130" s="4" t="s">
        <v>68</v>
      </c>
      <c r="F130" s="4" t="s">
        <v>179</v>
      </c>
      <c r="G130" s="4" t="n">
        <v>20</v>
      </c>
      <c r="H130" s="4" t="s">
        <v>168</v>
      </c>
      <c r="I130" s="8" t="n">
        <v>59</v>
      </c>
      <c r="J130" s="8" t="n">
        <v>64.1</v>
      </c>
      <c r="K130" s="9" t="n">
        <f aca="false">MIN(120,J130/I130*100)</f>
        <v>108.64406779661</v>
      </c>
      <c r="L130" s="9" t="n">
        <f aca="false">K130*G130/100</f>
        <v>21.728813559322</v>
      </c>
    </row>
    <row r="131" customFormat="false" ht="15" hidden="false" customHeight="false" outlineLevel="0" collapsed="false">
      <c r="A131" s="4" t="s">
        <v>82</v>
      </c>
      <c r="B131" s="4" t="s">
        <v>83</v>
      </c>
      <c r="C131" s="4" t="s">
        <v>5</v>
      </c>
      <c r="D131" s="4" t="s">
        <v>79</v>
      </c>
      <c r="E131" s="4" t="s">
        <v>68</v>
      </c>
      <c r="F131" s="4" t="s">
        <v>180</v>
      </c>
      <c r="G131" s="4" t="n">
        <v>10</v>
      </c>
      <c r="H131" s="4" t="s">
        <v>170</v>
      </c>
      <c r="I131" s="8" t="n">
        <v>28</v>
      </c>
      <c r="J131" s="8" t="n">
        <v>27.8</v>
      </c>
      <c r="K131" s="9" t="n">
        <f aca="false">MIN(120,J131/I131*100)</f>
        <v>99.2857142857143</v>
      </c>
      <c r="L131" s="9" t="n">
        <f aca="false">K131*G131/100</f>
        <v>9.92857142857143</v>
      </c>
    </row>
    <row r="132" customFormat="false" ht="15" hidden="false" customHeight="false" outlineLevel="0" collapsed="false">
      <c r="A132" s="4" t="s">
        <v>82</v>
      </c>
      <c r="B132" s="4" t="s">
        <v>83</v>
      </c>
      <c r="C132" s="4" t="s">
        <v>5</v>
      </c>
      <c r="D132" s="4" t="s">
        <v>79</v>
      </c>
      <c r="E132" s="4" t="s">
        <v>68</v>
      </c>
      <c r="F132" s="4" t="s">
        <v>181</v>
      </c>
      <c r="G132" s="4" t="n">
        <v>10</v>
      </c>
      <c r="H132" s="4" t="s">
        <v>168</v>
      </c>
      <c r="I132" s="8" t="n">
        <v>102</v>
      </c>
      <c r="J132" s="8" t="n">
        <v>112.9</v>
      </c>
      <c r="K132" s="9" t="n">
        <f aca="false">MIN(120,J132/I132*100)</f>
        <v>110.686274509804</v>
      </c>
      <c r="L132" s="9" t="n">
        <f aca="false">K132*G132/100</f>
        <v>11.0686274509804</v>
      </c>
    </row>
    <row r="133" customFormat="false" ht="15" hidden="false" customHeight="false" outlineLevel="0" collapsed="false">
      <c r="A133" s="4" t="s">
        <v>84</v>
      </c>
      <c r="B133" s="4" t="s">
        <v>85</v>
      </c>
      <c r="C133" s="4" t="s">
        <v>5</v>
      </c>
      <c r="D133" s="4" t="s">
        <v>79</v>
      </c>
      <c r="E133" s="4" t="s">
        <v>68</v>
      </c>
      <c r="F133" s="4" t="s">
        <v>176</v>
      </c>
      <c r="G133" s="4" t="n">
        <v>30</v>
      </c>
      <c r="H133" s="4" t="s">
        <v>164</v>
      </c>
      <c r="I133" s="8" t="n">
        <v>4700000</v>
      </c>
      <c r="J133" s="8" t="n">
        <v>4600000</v>
      </c>
      <c r="K133" s="9" t="n">
        <f aca="false">MIN(120,J133/I133*100)</f>
        <v>97.8723404255319</v>
      </c>
      <c r="L133" s="9" t="n">
        <f aca="false">K133*G133/100</f>
        <v>29.3617021276596</v>
      </c>
    </row>
    <row r="134" customFormat="false" ht="15" hidden="false" customHeight="false" outlineLevel="0" collapsed="false">
      <c r="A134" s="4" t="s">
        <v>84</v>
      </c>
      <c r="B134" s="4" t="s">
        <v>85</v>
      </c>
      <c r="C134" s="4" t="s">
        <v>5</v>
      </c>
      <c r="D134" s="4" t="s">
        <v>79</v>
      </c>
      <c r="E134" s="4" t="s">
        <v>68</v>
      </c>
      <c r="F134" s="4" t="s">
        <v>177</v>
      </c>
      <c r="G134" s="4" t="n">
        <v>15</v>
      </c>
      <c r="H134" s="4" t="s">
        <v>170</v>
      </c>
      <c r="I134" s="8" t="n">
        <v>29</v>
      </c>
      <c r="J134" s="8" t="n">
        <v>27.9</v>
      </c>
      <c r="K134" s="9" t="n">
        <f aca="false">MIN(120,J134/I134*100)</f>
        <v>96.2068965517241</v>
      </c>
      <c r="L134" s="9" t="n">
        <f aca="false">K134*G134/100</f>
        <v>14.4310344827586</v>
      </c>
    </row>
    <row r="135" customFormat="false" ht="15" hidden="false" customHeight="false" outlineLevel="0" collapsed="false">
      <c r="A135" s="4" t="s">
        <v>84</v>
      </c>
      <c r="B135" s="4" t="s">
        <v>85</v>
      </c>
      <c r="C135" s="4" t="s">
        <v>5</v>
      </c>
      <c r="D135" s="4" t="s">
        <v>79</v>
      </c>
      <c r="E135" s="4" t="s">
        <v>68</v>
      </c>
      <c r="F135" s="4" t="s">
        <v>178</v>
      </c>
      <c r="G135" s="4" t="n">
        <v>15</v>
      </c>
      <c r="H135" s="4" t="s">
        <v>166</v>
      </c>
      <c r="I135" s="8" t="n">
        <v>240</v>
      </c>
      <c r="J135" s="8" t="n">
        <v>206</v>
      </c>
      <c r="K135" s="9" t="n">
        <f aca="false">MIN(120,J135/I135*100)</f>
        <v>85.8333333333333</v>
      </c>
      <c r="L135" s="9" t="n">
        <f aca="false">K135*G135/100</f>
        <v>12.875</v>
      </c>
    </row>
    <row r="136" customFormat="false" ht="15" hidden="false" customHeight="false" outlineLevel="0" collapsed="false">
      <c r="A136" s="4" t="s">
        <v>84</v>
      </c>
      <c r="B136" s="4" t="s">
        <v>85</v>
      </c>
      <c r="C136" s="4" t="s">
        <v>5</v>
      </c>
      <c r="D136" s="4" t="s">
        <v>79</v>
      </c>
      <c r="E136" s="4" t="s">
        <v>68</v>
      </c>
      <c r="F136" s="4" t="s">
        <v>179</v>
      </c>
      <c r="G136" s="4" t="n">
        <v>20</v>
      </c>
      <c r="H136" s="4" t="s">
        <v>168</v>
      </c>
      <c r="I136" s="8" t="n">
        <v>65</v>
      </c>
      <c r="J136" s="8" t="n">
        <v>52.7</v>
      </c>
      <c r="K136" s="9" t="n">
        <f aca="false">MIN(120,J136/I136*100)</f>
        <v>81.0769230769231</v>
      </c>
      <c r="L136" s="9" t="n">
        <f aca="false">K136*G136/100</f>
        <v>16.2153846153846</v>
      </c>
    </row>
    <row r="137" customFormat="false" ht="15" hidden="false" customHeight="false" outlineLevel="0" collapsed="false">
      <c r="A137" s="4" t="s">
        <v>84</v>
      </c>
      <c r="B137" s="4" t="s">
        <v>85</v>
      </c>
      <c r="C137" s="4" t="s">
        <v>5</v>
      </c>
      <c r="D137" s="4" t="s">
        <v>79</v>
      </c>
      <c r="E137" s="4" t="s">
        <v>68</v>
      </c>
      <c r="F137" s="4" t="s">
        <v>180</v>
      </c>
      <c r="G137" s="4" t="n">
        <v>10</v>
      </c>
      <c r="H137" s="4" t="s">
        <v>170</v>
      </c>
      <c r="I137" s="8" t="n">
        <v>27</v>
      </c>
      <c r="J137" s="8" t="n">
        <v>26</v>
      </c>
      <c r="K137" s="9" t="n">
        <f aca="false">MIN(120,J137/I137*100)</f>
        <v>96.2962962962963</v>
      </c>
      <c r="L137" s="9" t="n">
        <f aca="false">K137*G137/100</f>
        <v>9.62962962962963</v>
      </c>
    </row>
    <row r="138" customFormat="false" ht="15" hidden="false" customHeight="false" outlineLevel="0" collapsed="false">
      <c r="A138" s="4" t="s">
        <v>84</v>
      </c>
      <c r="B138" s="4" t="s">
        <v>85</v>
      </c>
      <c r="C138" s="4" t="s">
        <v>5</v>
      </c>
      <c r="D138" s="4" t="s">
        <v>79</v>
      </c>
      <c r="E138" s="4" t="s">
        <v>68</v>
      </c>
      <c r="F138" s="4" t="s">
        <v>181</v>
      </c>
      <c r="G138" s="4" t="n">
        <v>10</v>
      </c>
      <c r="H138" s="4" t="s">
        <v>168</v>
      </c>
      <c r="I138" s="8" t="n">
        <v>102</v>
      </c>
      <c r="J138" s="8" t="n">
        <v>89</v>
      </c>
      <c r="K138" s="9" t="n">
        <f aca="false">MIN(120,J138/I138*100)</f>
        <v>87.2549019607843</v>
      </c>
      <c r="L138" s="9" t="n">
        <f aca="false">K138*G138/100</f>
        <v>8.72549019607843</v>
      </c>
    </row>
    <row r="139" customFormat="false" ht="15" hidden="false" customHeight="false" outlineLevel="0" collapsed="false">
      <c r="A139" s="4" t="s">
        <v>86</v>
      </c>
      <c r="B139" s="4" t="s">
        <v>87</v>
      </c>
      <c r="C139" s="4" t="s">
        <v>7</v>
      </c>
      <c r="D139" s="4" t="s">
        <v>88</v>
      </c>
      <c r="E139" s="4" t="s">
        <v>68</v>
      </c>
      <c r="F139" s="4" t="s">
        <v>171</v>
      </c>
      <c r="G139" s="4" t="n">
        <v>35</v>
      </c>
      <c r="H139" s="4" t="s">
        <v>164</v>
      </c>
      <c r="I139" s="8" t="n">
        <v>18800000</v>
      </c>
      <c r="J139" s="8" t="n">
        <v>18870000</v>
      </c>
      <c r="K139" s="9" t="n">
        <f aca="false">MIN(120,J139/I139*100)</f>
        <v>100.372340425532</v>
      </c>
      <c r="L139" s="9" t="n">
        <f aca="false">K139*G139/100</f>
        <v>35.1303191489362</v>
      </c>
    </row>
    <row r="140" customFormat="false" ht="15" hidden="false" customHeight="false" outlineLevel="0" collapsed="false">
      <c r="A140" s="4" t="s">
        <v>86</v>
      </c>
      <c r="B140" s="4" t="s">
        <v>87</v>
      </c>
      <c r="C140" s="4" t="s">
        <v>7</v>
      </c>
      <c r="D140" s="4" t="s">
        <v>88</v>
      </c>
      <c r="E140" s="4" t="s">
        <v>68</v>
      </c>
      <c r="F140" s="4" t="s">
        <v>172</v>
      </c>
      <c r="G140" s="4" t="n">
        <v>20</v>
      </c>
      <c r="H140" s="4" t="s">
        <v>168</v>
      </c>
      <c r="I140" s="8" t="n">
        <v>92</v>
      </c>
      <c r="J140" s="8" t="n">
        <v>84.4</v>
      </c>
      <c r="K140" s="9" t="n">
        <f aca="false">MIN(120,J140/I140*100)</f>
        <v>91.7391304347826</v>
      </c>
      <c r="L140" s="9" t="n">
        <f aca="false">K140*G140/100</f>
        <v>18.3478260869565</v>
      </c>
    </row>
    <row r="141" customFormat="false" ht="15" hidden="false" customHeight="false" outlineLevel="0" collapsed="false">
      <c r="A141" s="4" t="s">
        <v>86</v>
      </c>
      <c r="B141" s="4" t="s">
        <v>87</v>
      </c>
      <c r="C141" s="4" t="s">
        <v>7</v>
      </c>
      <c r="D141" s="4" t="s">
        <v>88</v>
      </c>
      <c r="E141" s="4" t="s">
        <v>68</v>
      </c>
      <c r="F141" s="4" t="s">
        <v>173</v>
      </c>
      <c r="G141" s="4" t="n">
        <v>20</v>
      </c>
      <c r="H141" s="4" t="s">
        <v>168</v>
      </c>
      <c r="I141" s="8" t="n">
        <v>57</v>
      </c>
      <c r="J141" s="8" t="n">
        <v>52.3</v>
      </c>
      <c r="K141" s="9" t="n">
        <f aca="false">MIN(120,J141/I141*100)</f>
        <v>91.7543859649123</v>
      </c>
      <c r="L141" s="9" t="n">
        <f aca="false">K141*G141/100</f>
        <v>18.3508771929825</v>
      </c>
    </row>
    <row r="142" customFormat="false" ht="15" hidden="false" customHeight="false" outlineLevel="0" collapsed="false">
      <c r="A142" s="4" t="s">
        <v>86</v>
      </c>
      <c r="B142" s="4" t="s">
        <v>87</v>
      </c>
      <c r="C142" s="4" t="s">
        <v>7</v>
      </c>
      <c r="D142" s="4" t="s">
        <v>88</v>
      </c>
      <c r="E142" s="4" t="s">
        <v>68</v>
      </c>
      <c r="F142" s="4" t="s">
        <v>174</v>
      </c>
      <c r="G142" s="4" t="n">
        <v>15</v>
      </c>
      <c r="H142" s="4" t="s">
        <v>170</v>
      </c>
      <c r="I142" s="8" t="n">
        <v>83</v>
      </c>
      <c r="J142" s="8" t="n">
        <v>80.3</v>
      </c>
      <c r="K142" s="9" t="n">
        <f aca="false">MIN(120,J142/I142*100)</f>
        <v>96.7469879518072</v>
      </c>
      <c r="L142" s="9" t="n">
        <f aca="false">K142*G142/100</f>
        <v>14.5120481927711</v>
      </c>
    </row>
    <row r="143" customFormat="false" ht="15" hidden="false" customHeight="false" outlineLevel="0" collapsed="false">
      <c r="A143" s="4" t="s">
        <v>86</v>
      </c>
      <c r="B143" s="4" t="s">
        <v>87</v>
      </c>
      <c r="C143" s="4" t="s">
        <v>7</v>
      </c>
      <c r="D143" s="4" t="s">
        <v>88</v>
      </c>
      <c r="E143" s="4" t="s">
        <v>68</v>
      </c>
      <c r="F143" s="4" t="s">
        <v>175</v>
      </c>
      <c r="G143" s="4" t="n">
        <v>10</v>
      </c>
      <c r="H143" s="4" t="s">
        <v>168</v>
      </c>
      <c r="I143" s="8" t="n">
        <v>74</v>
      </c>
      <c r="J143" s="8" t="n">
        <v>72.7</v>
      </c>
      <c r="K143" s="9" t="n">
        <f aca="false">MIN(120,J143/I143*100)</f>
        <v>98.2432432432433</v>
      </c>
      <c r="L143" s="9" t="n">
        <f aca="false">K143*G143/100</f>
        <v>9.82432432432433</v>
      </c>
    </row>
    <row r="144" customFormat="false" ht="15" hidden="false" customHeight="false" outlineLevel="0" collapsed="false">
      <c r="A144" s="4" t="s">
        <v>89</v>
      </c>
      <c r="B144" s="4" t="s">
        <v>90</v>
      </c>
      <c r="C144" s="4" t="s">
        <v>5</v>
      </c>
      <c r="D144" s="4" t="s">
        <v>88</v>
      </c>
      <c r="E144" s="4" t="s">
        <v>68</v>
      </c>
      <c r="F144" s="4" t="s">
        <v>176</v>
      </c>
      <c r="G144" s="4" t="n">
        <v>30</v>
      </c>
      <c r="H144" s="4" t="s">
        <v>164</v>
      </c>
      <c r="I144" s="8" t="n">
        <v>4800000</v>
      </c>
      <c r="J144" s="8" t="n">
        <v>5590000</v>
      </c>
      <c r="K144" s="9" t="n">
        <f aca="false">MIN(120,J144/I144*100)</f>
        <v>116.458333333333</v>
      </c>
      <c r="L144" s="9" t="n">
        <f aca="false">K144*G144/100</f>
        <v>34.9375</v>
      </c>
    </row>
    <row r="145" customFormat="false" ht="15" hidden="false" customHeight="false" outlineLevel="0" collapsed="false">
      <c r="A145" s="4" t="s">
        <v>89</v>
      </c>
      <c r="B145" s="4" t="s">
        <v>90</v>
      </c>
      <c r="C145" s="4" t="s">
        <v>5</v>
      </c>
      <c r="D145" s="4" t="s">
        <v>88</v>
      </c>
      <c r="E145" s="4" t="s">
        <v>68</v>
      </c>
      <c r="F145" s="4" t="s">
        <v>177</v>
      </c>
      <c r="G145" s="4" t="n">
        <v>15</v>
      </c>
      <c r="H145" s="4" t="s">
        <v>170</v>
      </c>
      <c r="I145" s="8" t="n">
        <v>35</v>
      </c>
      <c r="J145" s="8" t="n">
        <v>36.6</v>
      </c>
      <c r="K145" s="9" t="n">
        <f aca="false">MIN(120,J145/I145*100)</f>
        <v>104.571428571429</v>
      </c>
      <c r="L145" s="9" t="n">
        <f aca="false">K145*G145/100</f>
        <v>15.6857142857143</v>
      </c>
    </row>
    <row r="146" customFormat="false" ht="15" hidden="false" customHeight="false" outlineLevel="0" collapsed="false">
      <c r="A146" s="4" t="s">
        <v>89</v>
      </c>
      <c r="B146" s="4" t="s">
        <v>90</v>
      </c>
      <c r="C146" s="4" t="s">
        <v>5</v>
      </c>
      <c r="D146" s="4" t="s">
        <v>88</v>
      </c>
      <c r="E146" s="4" t="s">
        <v>68</v>
      </c>
      <c r="F146" s="4" t="s">
        <v>178</v>
      </c>
      <c r="G146" s="4" t="n">
        <v>15</v>
      </c>
      <c r="H146" s="4" t="s">
        <v>166</v>
      </c>
      <c r="I146" s="8" t="n">
        <v>260</v>
      </c>
      <c r="J146" s="8" t="n">
        <v>276</v>
      </c>
      <c r="K146" s="9" t="n">
        <f aca="false">MIN(120,J146/I146*100)</f>
        <v>106.153846153846</v>
      </c>
      <c r="L146" s="9" t="n">
        <f aca="false">K146*G146/100</f>
        <v>15.9230769230769</v>
      </c>
    </row>
    <row r="147" customFormat="false" ht="15" hidden="false" customHeight="false" outlineLevel="0" collapsed="false">
      <c r="A147" s="4" t="s">
        <v>89</v>
      </c>
      <c r="B147" s="4" t="s">
        <v>90</v>
      </c>
      <c r="C147" s="4" t="s">
        <v>5</v>
      </c>
      <c r="D147" s="4" t="s">
        <v>88</v>
      </c>
      <c r="E147" s="4" t="s">
        <v>68</v>
      </c>
      <c r="F147" s="4" t="s">
        <v>179</v>
      </c>
      <c r="G147" s="4" t="n">
        <v>20</v>
      </c>
      <c r="H147" s="4" t="s">
        <v>168</v>
      </c>
      <c r="I147" s="8" t="n">
        <v>62</v>
      </c>
      <c r="J147" s="8" t="n">
        <v>56.1</v>
      </c>
      <c r="K147" s="9" t="n">
        <f aca="false">MIN(120,J147/I147*100)</f>
        <v>90.4838709677419</v>
      </c>
      <c r="L147" s="9" t="n">
        <f aca="false">K147*G147/100</f>
        <v>18.0967741935484</v>
      </c>
    </row>
    <row r="148" customFormat="false" ht="15" hidden="false" customHeight="false" outlineLevel="0" collapsed="false">
      <c r="A148" s="4" t="s">
        <v>89</v>
      </c>
      <c r="B148" s="4" t="s">
        <v>90</v>
      </c>
      <c r="C148" s="4" t="s">
        <v>5</v>
      </c>
      <c r="D148" s="4" t="s">
        <v>88</v>
      </c>
      <c r="E148" s="4" t="s">
        <v>68</v>
      </c>
      <c r="F148" s="4" t="s">
        <v>180</v>
      </c>
      <c r="G148" s="4" t="n">
        <v>10</v>
      </c>
      <c r="H148" s="4" t="s">
        <v>170</v>
      </c>
      <c r="I148" s="8" t="n">
        <v>28</v>
      </c>
      <c r="J148" s="8" t="n">
        <v>32.2</v>
      </c>
      <c r="K148" s="9" t="n">
        <f aca="false">MIN(120,J148/I148*100)</f>
        <v>115</v>
      </c>
      <c r="L148" s="9" t="n">
        <f aca="false">K148*G148/100</f>
        <v>11.5</v>
      </c>
    </row>
    <row r="149" customFormat="false" ht="15" hidden="false" customHeight="false" outlineLevel="0" collapsed="false">
      <c r="A149" s="4" t="s">
        <v>89</v>
      </c>
      <c r="B149" s="4" t="s">
        <v>90</v>
      </c>
      <c r="C149" s="4" t="s">
        <v>5</v>
      </c>
      <c r="D149" s="4" t="s">
        <v>88</v>
      </c>
      <c r="E149" s="4" t="s">
        <v>68</v>
      </c>
      <c r="F149" s="4" t="s">
        <v>181</v>
      </c>
      <c r="G149" s="4" t="n">
        <v>10</v>
      </c>
      <c r="H149" s="4" t="s">
        <v>168</v>
      </c>
      <c r="I149" s="8" t="n">
        <v>90</v>
      </c>
      <c r="J149" s="8" t="n">
        <v>86.4</v>
      </c>
      <c r="K149" s="9" t="n">
        <f aca="false">MIN(120,J149/I149*100)</f>
        <v>96</v>
      </c>
      <c r="L149" s="9" t="n">
        <f aca="false">K149*G149/100</f>
        <v>9.6</v>
      </c>
    </row>
    <row r="150" customFormat="false" ht="15" hidden="false" customHeight="false" outlineLevel="0" collapsed="false">
      <c r="A150" s="4" t="s">
        <v>91</v>
      </c>
      <c r="B150" s="4" t="s">
        <v>92</v>
      </c>
      <c r="C150" s="4" t="s">
        <v>5</v>
      </c>
      <c r="D150" s="4" t="s">
        <v>88</v>
      </c>
      <c r="E150" s="4" t="s">
        <v>68</v>
      </c>
      <c r="F150" s="4" t="s">
        <v>176</v>
      </c>
      <c r="G150" s="4" t="n">
        <v>30</v>
      </c>
      <c r="H150" s="4" t="s">
        <v>164</v>
      </c>
      <c r="I150" s="8" t="n">
        <v>4300000</v>
      </c>
      <c r="J150" s="8" t="n">
        <v>4040000</v>
      </c>
      <c r="K150" s="9" t="n">
        <f aca="false">MIN(120,J150/I150*100)</f>
        <v>93.953488372093</v>
      </c>
      <c r="L150" s="9" t="n">
        <f aca="false">K150*G150/100</f>
        <v>28.1860465116279</v>
      </c>
    </row>
    <row r="151" customFormat="false" ht="15" hidden="false" customHeight="false" outlineLevel="0" collapsed="false">
      <c r="A151" s="4" t="s">
        <v>91</v>
      </c>
      <c r="B151" s="4" t="s">
        <v>92</v>
      </c>
      <c r="C151" s="4" t="s">
        <v>5</v>
      </c>
      <c r="D151" s="4" t="s">
        <v>88</v>
      </c>
      <c r="E151" s="4" t="s">
        <v>68</v>
      </c>
      <c r="F151" s="4" t="s">
        <v>177</v>
      </c>
      <c r="G151" s="4" t="n">
        <v>15</v>
      </c>
      <c r="H151" s="4" t="s">
        <v>170</v>
      </c>
      <c r="I151" s="8" t="n">
        <v>31</v>
      </c>
      <c r="J151" s="8" t="n">
        <v>32.9</v>
      </c>
      <c r="K151" s="9" t="n">
        <f aca="false">MIN(120,J151/I151*100)</f>
        <v>106.129032258065</v>
      </c>
      <c r="L151" s="9" t="n">
        <f aca="false">K151*G151/100</f>
        <v>15.9193548387097</v>
      </c>
    </row>
    <row r="152" customFormat="false" ht="15" hidden="false" customHeight="false" outlineLevel="0" collapsed="false">
      <c r="A152" s="4" t="s">
        <v>91</v>
      </c>
      <c r="B152" s="4" t="s">
        <v>92</v>
      </c>
      <c r="C152" s="4" t="s">
        <v>5</v>
      </c>
      <c r="D152" s="4" t="s">
        <v>88</v>
      </c>
      <c r="E152" s="4" t="s">
        <v>68</v>
      </c>
      <c r="F152" s="4" t="s">
        <v>178</v>
      </c>
      <c r="G152" s="4" t="n">
        <v>15</v>
      </c>
      <c r="H152" s="4" t="s">
        <v>166</v>
      </c>
      <c r="I152" s="8" t="n">
        <v>230</v>
      </c>
      <c r="J152" s="8" t="n">
        <v>249</v>
      </c>
      <c r="K152" s="9" t="n">
        <f aca="false">MIN(120,J152/I152*100)</f>
        <v>108.260869565217</v>
      </c>
      <c r="L152" s="9" t="n">
        <f aca="false">K152*G152/100</f>
        <v>16.2391304347826</v>
      </c>
    </row>
    <row r="153" customFormat="false" ht="15" hidden="false" customHeight="false" outlineLevel="0" collapsed="false">
      <c r="A153" s="4" t="s">
        <v>91</v>
      </c>
      <c r="B153" s="4" t="s">
        <v>92</v>
      </c>
      <c r="C153" s="4" t="s">
        <v>5</v>
      </c>
      <c r="D153" s="4" t="s">
        <v>88</v>
      </c>
      <c r="E153" s="4" t="s">
        <v>68</v>
      </c>
      <c r="F153" s="4" t="s">
        <v>179</v>
      </c>
      <c r="G153" s="4" t="n">
        <v>20</v>
      </c>
      <c r="H153" s="4" t="s">
        <v>168</v>
      </c>
      <c r="I153" s="8" t="n">
        <v>59</v>
      </c>
      <c r="J153" s="8" t="n">
        <v>61.8</v>
      </c>
      <c r="K153" s="9" t="n">
        <f aca="false">MIN(120,J153/I153*100)</f>
        <v>104.745762711864</v>
      </c>
      <c r="L153" s="9" t="n">
        <f aca="false">K153*G153/100</f>
        <v>20.9491525423729</v>
      </c>
    </row>
    <row r="154" customFormat="false" ht="15" hidden="false" customHeight="false" outlineLevel="0" collapsed="false">
      <c r="A154" s="4" t="s">
        <v>91</v>
      </c>
      <c r="B154" s="4" t="s">
        <v>92</v>
      </c>
      <c r="C154" s="4" t="s">
        <v>5</v>
      </c>
      <c r="D154" s="4" t="s">
        <v>88</v>
      </c>
      <c r="E154" s="4" t="s">
        <v>68</v>
      </c>
      <c r="F154" s="4" t="s">
        <v>180</v>
      </c>
      <c r="G154" s="4" t="n">
        <v>10</v>
      </c>
      <c r="H154" s="4" t="s">
        <v>170</v>
      </c>
      <c r="I154" s="8" t="n">
        <v>28</v>
      </c>
      <c r="J154" s="8" t="n">
        <v>28.7</v>
      </c>
      <c r="K154" s="9" t="n">
        <f aca="false">MIN(120,J154/I154*100)</f>
        <v>102.5</v>
      </c>
      <c r="L154" s="9" t="n">
        <f aca="false">K154*G154/100</f>
        <v>10.25</v>
      </c>
    </row>
    <row r="155" customFormat="false" ht="15" hidden="false" customHeight="false" outlineLevel="0" collapsed="false">
      <c r="A155" s="4" t="s">
        <v>91</v>
      </c>
      <c r="B155" s="4" t="s">
        <v>92</v>
      </c>
      <c r="C155" s="4" t="s">
        <v>5</v>
      </c>
      <c r="D155" s="4" t="s">
        <v>88</v>
      </c>
      <c r="E155" s="4" t="s">
        <v>68</v>
      </c>
      <c r="F155" s="4" t="s">
        <v>181</v>
      </c>
      <c r="G155" s="4" t="n">
        <v>10</v>
      </c>
      <c r="H155" s="4" t="s">
        <v>168</v>
      </c>
      <c r="I155" s="8" t="n">
        <v>87</v>
      </c>
      <c r="J155" s="8" t="n">
        <v>94.1</v>
      </c>
      <c r="K155" s="9" t="n">
        <f aca="false">MIN(120,J155/I155*100)</f>
        <v>108.16091954023</v>
      </c>
      <c r="L155" s="9" t="n">
        <f aca="false">K155*G155/100</f>
        <v>10.816091954023</v>
      </c>
    </row>
    <row r="156" customFormat="false" ht="15" hidden="false" customHeight="false" outlineLevel="0" collapsed="false">
      <c r="A156" s="4" t="s">
        <v>93</v>
      </c>
      <c r="B156" s="4" t="s">
        <v>94</v>
      </c>
      <c r="C156" s="4" t="s">
        <v>5</v>
      </c>
      <c r="D156" s="4" t="s">
        <v>88</v>
      </c>
      <c r="E156" s="4" t="s">
        <v>68</v>
      </c>
      <c r="F156" s="4" t="s">
        <v>176</v>
      </c>
      <c r="G156" s="4" t="n">
        <v>30</v>
      </c>
      <c r="H156" s="4" t="s">
        <v>164</v>
      </c>
      <c r="I156" s="8" t="n">
        <v>4300000</v>
      </c>
      <c r="J156" s="8" t="n">
        <v>4080000</v>
      </c>
      <c r="K156" s="9" t="n">
        <f aca="false">MIN(120,J156/I156*100)</f>
        <v>94.8837209302326</v>
      </c>
      <c r="L156" s="9" t="n">
        <f aca="false">K156*G156/100</f>
        <v>28.4651162790698</v>
      </c>
    </row>
    <row r="157" customFormat="false" ht="15" hidden="false" customHeight="false" outlineLevel="0" collapsed="false">
      <c r="A157" s="4" t="s">
        <v>93</v>
      </c>
      <c r="B157" s="4" t="s">
        <v>94</v>
      </c>
      <c r="C157" s="4" t="s">
        <v>5</v>
      </c>
      <c r="D157" s="4" t="s">
        <v>88</v>
      </c>
      <c r="E157" s="4" t="s">
        <v>68</v>
      </c>
      <c r="F157" s="4" t="s">
        <v>177</v>
      </c>
      <c r="G157" s="4" t="n">
        <v>15</v>
      </c>
      <c r="H157" s="4" t="s">
        <v>170</v>
      </c>
      <c r="I157" s="8" t="n">
        <v>35</v>
      </c>
      <c r="J157" s="8" t="n">
        <v>32.9</v>
      </c>
      <c r="K157" s="9" t="n">
        <f aca="false">MIN(120,J157/I157*100)</f>
        <v>94</v>
      </c>
      <c r="L157" s="9" t="n">
        <f aca="false">K157*G157/100</f>
        <v>14.1</v>
      </c>
    </row>
    <row r="158" customFormat="false" ht="15" hidden="false" customHeight="false" outlineLevel="0" collapsed="false">
      <c r="A158" s="4" t="s">
        <v>93</v>
      </c>
      <c r="B158" s="4" t="s">
        <v>94</v>
      </c>
      <c r="C158" s="4" t="s">
        <v>5</v>
      </c>
      <c r="D158" s="4" t="s">
        <v>88</v>
      </c>
      <c r="E158" s="4" t="s">
        <v>68</v>
      </c>
      <c r="F158" s="4" t="s">
        <v>178</v>
      </c>
      <c r="G158" s="4" t="n">
        <v>15</v>
      </c>
      <c r="H158" s="4" t="s">
        <v>166</v>
      </c>
      <c r="I158" s="8" t="n">
        <v>220</v>
      </c>
      <c r="J158" s="8" t="n">
        <v>221</v>
      </c>
      <c r="K158" s="9" t="n">
        <f aca="false">MIN(120,J158/I158*100)</f>
        <v>100.454545454545</v>
      </c>
      <c r="L158" s="9" t="n">
        <f aca="false">K158*G158/100</f>
        <v>15.0681818181818</v>
      </c>
    </row>
    <row r="159" customFormat="false" ht="15" hidden="false" customHeight="false" outlineLevel="0" collapsed="false">
      <c r="A159" s="4" t="s">
        <v>93</v>
      </c>
      <c r="B159" s="4" t="s">
        <v>94</v>
      </c>
      <c r="C159" s="4" t="s">
        <v>5</v>
      </c>
      <c r="D159" s="4" t="s">
        <v>88</v>
      </c>
      <c r="E159" s="4" t="s">
        <v>68</v>
      </c>
      <c r="F159" s="4" t="s">
        <v>179</v>
      </c>
      <c r="G159" s="4" t="n">
        <v>20</v>
      </c>
      <c r="H159" s="4" t="s">
        <v>168</v>
      </c>
      <c r="I159" s="8" t="n">
        <v>64</v>
      </c>
      <c r="J159" s="8" t="n">
        <v>72.2</v>
      </c>
      <c r="K159" s="9" t="n">
        <f aca="false">MIN(120,J159/I159*100)</f>
        <v>112.8125</v>
      </c>
      <c r="L159" s="9" t="n">
        <f aca="false">K159*G159/100</f>
        <v>22.5625</v>
      </c>
    </row>
    <row r="160" customFormat="false" ht="15" hidden="false" customHeight="false" outlineLevel="0" collapsed="false">
      <c r="A160" s="4" t="s">
        <v>93</v>
      </c>
      <c r="B160" s="4" t="s">
        <v>94</v>
      </c>
      <c r="C160" s="4" t="s">
        <v>5</v>
      </c>
      <c r="D160" s="4" t="s">
        <v>88</v>
      </c>
      <c r="E160" s="4" t="s">
        <v>68</v>
      </c>
      <c r="F160" s="4" t="s">
        <v>180</v>
      </c>
      <c r="G160" s="4" t="n">
        <v>10</v>
      </c>
      <c r="H160" s="4" t="s">
        <v>170</v>
      </c>
      <c r="I160" s="8" t="n">
        <v>27</v>
      </c>
      <c r="J160" s="8" t="n">
        <v>29.2</v>
      </c>
      <c r="K160" s="9" t="n">
        <f aca="false">MIN(120,J160/I160*100)</f>
        <v>108.148148148148</v>
      </c>
      <c r="L160" s="9" t="n">
        <f aca="false">K160*G160/100</f>
        <v>10.8148148148148</v>
      </c>
    </row>
    <row r="161" customFormat="false" ht="15" hidden="false" customHeight="false" outlineLevel="0" collapsed="false">
      <c r="A161" s="4" t="s">
        <v>93</v>
      </c>
      <c r="B161" s="4" t="s">
        <v>94</v>
      </c>
      <c r="C161" s="4" t="s">
        <v>5</v>
      </c>
      <c r="D161" s="4" t="s">
        <v>88</v>
      </c>
      <c r="E161" s="4" t="s">
        <v>68</v>
      </c>
      <c r="F161" s="4" t="s">
        <v>181</v>
      </c>
      <c r="G161" s="4" t="n">
        <v>10</v>
      </c>
      <c r="H161" s="4" t="s">
        <v>168</v>
      </c>
      <c r="I161" s="8" t="n">
        <v>89</v>
      </c>
      <c r="J161" s="8" t="n">
        <v>110</v>
      </c>
      <c r="K161" s="9" t="n">
        <f aca="false">MIN(120,J161/I161*100)</f>
        <v>120</v>
      </c>
      <c r="L161" s="9" t="n">
        <f aca="false">K161*G161/100</f>
        <v>12</v>
      </c>
    </row>
    <row r="162" customFormat="false" ht="15" hidden="false" customHeight="false" outlineLevel="0" collapsed="false">
      <c r="A162" s="4" t="s">
        <v>95</v>
      </c>
      <c r="B162" s="4" t="s">
        <v>96</v>
      </c>
      <c r="C162" s="4" t="s">
        <v>7</v>
      </c>
      <c r="D162" s="4" t="s">
        <v>97</v>
      </c>
      <c r="E162" s="4" t="s">
        <v>98</v>
      </c>
      <c r="F162" s="4" t="s">
        <v>171</v>
      </c>
      <c r="G162" s="4" t="n">
        <v>35</v>
      </c>
      <c r="H162" s="4" t="s">
        <v>164</v>
      </c>
      <c r="I162" s="8" t="n">
        <v>17900000</v>
      </c>
      <c r="J162" s="8" t="n">
        <v>11160000</v>
      </c>
      <c r="K162" s="9" t="n">
        <f aca="false">MIN(120,J162/I162*100)</f>
        <v>62.3463687150838</v>
      </c>
      <c r="L162" s="9" t="n">
        <f aca="false">K162*G162/100</f>
        <v>21.8212290502793</v>
      </c>
    </row>
    <row r="163" customFormat="false" ht="15" hidden="false" customHeight="false" outlineLevel="0" collapsed="false">
      <c r="A163" s="4" t="s">
        <v>95</v>
      </c>
      <c r="B163" s="4" t="s">
        <v>96</v>
      </c>
      <c r="C163" s="4" t="s">
        <v>7</v>
      </c>
      <c r="D163" s="4" t="s">
        <v>97</v>
      </c>
      <c r="E163" s="4" t="s">
        <v>98</v>
      </c>
      <c r="F163" s="4" t="s">
        <v>172</v>
      </c>
      <c r="G163" s="4" t="n">
        <v>20</v>
      </c>
      <c r="H163" s="4" t="s">
        <v>168</v>
      </c>
      <c r="I163" s="8" t="n">
        <v>83</v>
      </c>
      <c r="J163" s="8" t="n">
        <v>57.6</v>
      </c>
      <c r="K163" s="9" t="n">
        <f aca="false">MIN(120,J163/I163*100)</f>
        <v>69.3975903614458</v>
      </c>
      <c r="L163" s="9" t="n">
        <f aca="false">K163*G163/100</f>
        <v>13.8795180722892</v>
      </c>
    </row>
    <row r="164" customFormat="false" ht="15" hidden="false" customHeight="false" outlineLevel="0" collapsed="false">
      <c r="A164" s="4" t="s">
        <v>95</v>
      </c>
      <c r="B164" s="4" t="s">
        <v>96</v>
      </c>
      <c r="C164" s="4" t="s">
        <v>7</v>
      </c>
      <c r="D164" s="4" t="s">
        <v>97</v>
      </c>
      <c r="E164" s="4" t="s">
        <v>98</v>
      </c>
      <c r="F164" s="4" t="s">
        <v>173</v>
      </c>
      <c r="G164" s="4" t="n">
        <v>20</v>
      </c>
      <c r="H164" s="4" t="s">
        <v>168</v>
      </c>
      <c r="I164" s="8" t="n">
        <v>66</v>
      </c>
      <c r="J164" s="8" t="n">
        <v>47.3</v>
      </c>
      <c r="K164" s="9" t="n">
        <f aca="false">MIN(120,J164/I164*100)</f>
        <v>71.6666666666667</v>
      </c>
      <c r="L164" s="9" t="n">
        <f aca="false">K164*G164/100</f>
        <v>14.3333333333333</v>
      </c>
    </row>
    <row r="165" customFormat="false" ht="15" hidden="false" customHeight="false" outlineLevel="0" collapsed="false">
      <c r="A165" s="4" t="s">
        <v>95</v>
      </c>
      <c r="B165" s="4" t="s">
        <v>96</v>
      </c>
      <c r="C165" s="4" t="s">
        <v>7</v>
      </c>
      <c r="D165" s="4" t="s">
        <v>97</v>
      </c>
      <c r="E165" s="4" t="s">
        <v>98</v>
      </c>
      <c r="F165" s="4" t="s">
        <v>174</v>
      </c>
      <c r="G165" s="4" t="n">
        <v>15</v>
      </c>
      <c r="H165" s="4" t="s">
        <v>170</v>
      </c>
      <c r="I165" s="8" t="n">
        <v>90</v>
      </c>
      <c r="J165" s="8" t="n">
        <v>54.4</v>
      </c>
      <c r="K165" s="9" t="n">
        <f aca="false">MIN(120,J165/I165*100)</f>
        <v>60.4444444444444</v>
      </c>
      <c r="L165" s="9" t="n">
        <f aca="false">K165*G165/100</f>
        <v>9.06666666666667</v>
      </c>
    </row>
    <row r="166" customFormat="false" ht="15" hidden="false" customHeight="false" outlineLevel="0" collapsed="false">
      <c r="A166" s="4" t="s">
        <v>95</v>
      </c>
      <c r="B166" s="4" t="s">
        <v>96</v>
      </c>
      <c r="C166" s="4" t="s">
        <v>7</v>
      </c>
      <c r="D166" s="4" t="s">
        <v>97</v>
      </c>
      <c r="E166" s="4" t="s">
        <v>98</v>
      </c>
      <c r="F166" s="4" t="s">
        <v>175</v>
      </c>
      <c r="G166" s="4" t="n">
        <v>10</v>
      </c>
      <c r="H166" s="4" t="s">
        <v>168</v>
      </c>
      <c r="I166" s="8" t="n">
        <v>67</v>
      </c>
      <c r="J166" s="8" t="n">
        <v>46.1</v>
      </c>
      <c r="K166" s="9" t="n">
        <f aca="false">MIN(120,J166/I166*100)</f>
        <v>68.8059701492537</v>
      </c>
      <c r="L166" s="9" t="n">
        <f aca="false">K166*G166/100</f>
        <v>6.88059701492538</v>
      </c>
    </row>
    <row r="167" customFormat="false" ht="15" hidden="false" customHeight="false" outlineLevel="0" collapsed="false">
      <c r="A167" s="4" t="s">
        <v>99</v>
      </c>
      <c r="B167" s="4" t="s">
        <v>100</v>
      </c>
      <c r="C167" s="4" t="s">
        <v>5</v>
      </c>
      <c r="D167" s="4" t="s">
        <v>97</v>
      </c>
      <c r="E167" s="4" t="s">
        <v>98</v>
      </c>
      <c r="F167" s="4" t="s">
        <v>176</v>
      </c>
      <c r="G167" s="4" t="n">
        <v>30</v>
      </c>
      <c r="H167" s="4" t="s">
        <v>164</v>
      </c>
      <c r="I167" s="8" t="n">
        <v>4900000</v>
      </c>
      <c r="J167" s="8" t="n">
        <v>4210000</v>
      </c>
      <c r="K167" s="9" t="n">
        <f aca="false">MIN(120,J167/I167*100)</f>
        <v>85.9183673469388</v>
      </c>
      <c r="L167" s="9" t="n">
        <f aca="false">K167*G167/100</f>
        <v>25.7755102040816</v>
      </c>
    </row>
    <row r="168" customFormat="false" ht="15" hidden="false" customHeight="false" outlineLevel="0" collapsed="false">
      <c r="A168" s="4" t="s">
        <v>99</v>
      </c>
      <c r="B168" s="4" t="s">
        <v>100</v>
      </c>
      <c r="C168" s="4" t="s">
        <v>5</v>
      </c>
      <c r="D168" s="4" t="s">
        <v>97</v>
      </c>
      <c r="E168" s="4" t="s">
        <v>98</v>
      </c>
      <c r="F168" s="4" t="s">
        <v>177</v>
      </c>
      <c r="G168" s="4" t="n">
        <v>15</v>
      </c>
      <c r="H168" s="4" t="s">
        <v>170</v>
      </c>
      <c r="I168" s="8" t="n">
        <v>35</v>
      </c>
      <c r="J168" s="8" t="n">
        <v>28.3</v>
      </c>
      <c r="K168" s="9" t="n">
        <f aca="false">MIN(120,J168/I168*100)</f>
        <v>80.8571428571429</v>
      </c>
      <c r="L168" s="9" t="n">
        <f aca="false">K168*G168/100</f>
        <v>12.1285714285714</v>
      </c>
    </row>
    <row r="169" customFormat="false" ht="15" hidden="false" customHeight="false" outlineLevel="0" collapsed="false">
      <c r="A169" s="4" t="s">
        <v>99</v>
      </c>
      <c r="B169" s="4" t="s">
        <v>100</v>
      </c>
      <c r="C169" s="4" t="s">
        <v>5</v>
      </c>
      <c r="D169" s="4" t="s">
        <v>97</v>
      </c>
      <c r="E169" s="4" t="s">
        <v>98</v>
      </c>
      <c r="F169" s="4" t="s">
        <v>178</v>
      </c>
      <c r="G169" s="4" t="n">
        <v>15</v>
      </c>
      <c r="H169" s="4" t="s">
        <v>166</v>
      </c>
      <c r="I169" s="8" t="n">
        <v>260</v>
      </c>
      <c r="J169" s="8" t="n">
        <v>199</v>
      </c>
      <c r="K169" s="9" t="n">
        <f aca="false">MIN(120,J169/I169*100)</f>
        <v>76.5384615384615</v>
      </c>
      <c r="L169" s="9" t="n">
        <f aca="false">K169*G169/100</f>
        <v>11.4807692307692</v>
      </c>
    </row>
    <row r="170" customFormat="false" ht="15" hidden="false" customHeight="false" outlineLevel="0" collapsed="false">
      <c r="A170" s="4" t="s">
        <v>99</v>
      </c>
      <c r="B170" s="4" t="s">
        <v>100</v>
      </c>
      <c r="C170" s="4" t="s">
        <v>5</v>
      </c>
      <c r="D170" s="4" t="s">
        <v>97</v>
      </c>
      <c r="E170" s="4" t="s">
        <v>98</v>
      </c>
      <c r="F170" s="4" t="s">
        <v>179</v>
      </c>
      <c r="G170" s="4" t="n">
        <v>20</v>
      </c>
      <c r="H170" s="4" t="s">
        <v>168</v>
      </c>
      <c r="I170" s="8" t="n">
        <v>61</v>
      </c>
      <c r="J170" s="8" t="n">
        <v>56.3</v>
      </c>
      <c r="K170" s="9" t="n">
        <f aca="false">MIN(120,J170/I170*100)</f>
        <v>92.2950819672131</v>
      </c>
      <c r="L170" s="9" t="n">
        <f aca="false">K170*G170/100</f>
        <v>18.4590163934426</v>
      </c>
    </row>
    <row r="171" customFormat="false" ht="15" hidden="false" customHeight="false" outlineLevel="0" collapsed="false">
      <c r="A171" s="4" t="s">
        <v>99</v>
      </c>
      <c r="B171" s="4" t="s">
        <v>100</v>
      </c>
      <c r="C171" s="4" t="s">
        <v>5</v>
      </c>
      <c r="D171" s="4" t="s">
        <v>97</v>
      </c>
      <c r="E171" s="4" t="s">
        <v>98</v>
      </c>
      <c r="F171" s="4" t="s">
        <v>180</v>
      </c>
      <c r="G171" s="4" t="n">
        <v>10</v>
      </c>
      <c r="H171" s="4" t="s">
        <v>170</v>
      </c>
      <c r="I171" s="8" t="n">
        <v>27</v>
      </c>
      <c r="J171" s="8" t="n">
        <v>24</v>
      </c>
      <c r="K171" s="9" t="n">
        <f aca="false">MIN(120,J171/I171*100)</f>
        <v>88.8888888888889</v>
      </c>
      <c r="L171" s="9" t="n">
        <f aca="false">K171*G171/100</f>
        <v>8.88888888888889</v>
      </c>
    </row>
    <row r="172" customFormat="false" ht="15" hidden="false" customHeight="false" outlineLevel="0" collapsed="false">
      <c r="A172" s="4" t="s">
        <v>99</v>
      </c>
      <c r="B172" s="4" t="s">
        <v>100</v>
      </c>
      <c r="C172" s="4" t="s">
        <v>5</v>
      </c>
      <c r="D172" s="4" t="s">
        <v>97</v>
      </c>
      <c r="E172" s="4" t="s">
        <v>98</v>
      </c>
      <c r="F172" s="4" t="s">
        <v>181</v>
      </c>
      <c r="G172" s="4" t="n">
        <v>10</v>
      </c>
      <c r="H172" s="4" t="s">
        <v>168</v>
      </c>
      <c r="I172" s="8" t="n">
        <v>92</v>
      </c>
      <c r="J172" s="8" t="n">
        <v>81.6</v>
      </c>
      <c r="K172" s="9" t="n">
        <f aca="false">MIN(120,J172/I172*100)</f>
        <v>88.6956521739131</v>
      </c>
      <c r="L172" s="9" t="n">
        <f aca="false">K172*G172/100</f>
        <v>8.86956521739131</v>
      </c>
    </row>
    <row r="173" customFormat="false" ht="15" hidden="false" customHeight="false" outlineLevel="0" collapsed="false">
      <c r="A173" s="4" t="s">
        <v>101</v>
      </c>
      <c r="B173" s="4" t="s">
        <v>102</v>
      </c>
      <c r="C173" s="4" t="s">
        <v>5</v>
      </c>
      <c r="D173" s="4" t="s">
        <v>97</v>
      </c>
      <c r="E173" s="4" t="s">
        <v>98</v>
      </c>
      <c r="F173" s="4" t="s">
        <v>176</v>
      </c>
      <c r="G173" s="4" t="n">
        <v>30</v>
      </c>
      <c r="H173" s="4" t="s">
        <v>164</v>
      </c>
      <c r="I173" s="8" t="n">
        <v>4800000</v>
      </c>
      <c r="J173" s="8" t="n">
        <v>3610000</v>
      </c>
      <c r="K173" s="9" t="n">
        <f aca="false">MIN(120,J173/I173*100)</f>
        <v>75.2083333333333</v>
      </c>
      <c r="L173" s="9" t="n">
        <f aca="false">K173*G173/100</f>
        <v>22.5625</v>
      </c>
    </row>
    <row r="174" customFormat="false" ht="15" hidden="false" customHeight="false" outlineLevel="0" collapsed="false">
      <c r="A174" s="4" t="s">
        <v>101</v>
      </c>
      <c r="B174" s="4" t="s">
        <v>102</v>
      </c>
      <c r="C174" s="4" t="s">
        <v>5</v>
      </c>
      <c r="D174" s="4" t="s">
        <v>97</v>
      </c>
      <c r="E174" s="4" t="s">
        <v>98</v>
      </c>
      <c r="F174" s="4" t="s">
        <v>177</v>
      </c>
      <c r="G174" s="4" t="n">
        <v>15</v>
      </c>
      <c r="H174" s="4" t="s">
        <v>170</v>
      </c>
      <c r="I174" s="8" t="n">
        <v>32</v>
      </c>
      <c r="J174" s="8" t="n">
        <v>19.1</v>
      </c>
      <c r="K174" s="9" t="n">
        <f aca="false">MIN(120,J174/I174*100)</f>
        <v>59.6875</v>
      </c>
      <c r="L174" s="9" t="n">
        <f aca="false">K174*G174/100</f>
        <v>8.953125</v>
      </c>
    </row>
    <row r="175" customFormat="false" ht="15" hidden="false" customHeight="false" outlineLevel="0" collapsed="false">
      <c r="A175" s="4" t="s">
        <v>101</v>
      </c>
      <c r="B175" s="4" t="s">
        <v>102</v>
      </c>
      <c r="C175" s="4" t="s">
        <v>5</v>
      </c>
      <c r="D175" s="4" t="s">
        <v>97</v>
      </c>
      <c r="E175" s="4" t="s">
        <v>98</v>
      </c>
      <c r="F175" s="4" t="s">
        <v>178</v>
      </c>
      <c r="G175" s="4" t="n">
        <v>15</v>
      </c>
      <c r="H175" s="4" t="s">
        <v>166</v>
      </c>
      <c r="I175" s="8" t="n">
        <v>240</v>
      </c>
      <c r="J175" s="8" t="n">
        <v>174</v>
      </c>
      <c r="K175" s="9" t="n">
        <f aca="false">MIN(120,J175/I175*100)</f>
        <v>72.5</v>
      </c>
      <c r="L175" s="9" t="n">
        <f aca="false">K175*G175/100</f>
        <v>10.875</v>
      </c>
    </row>
    <row r="176" customFormat="false" ht="15" hidden="false" customHeight="false" outlineLevel="0" collapsed="false">
      <c r="A176" s="4" t="s">
        <v>101</v>
      </c>
      <c r="B176" s="4" t="s">
        <v>102</v>
      </c>
      <c r="C176" s="4" t="s">
        <v>5</v>
      </c>
      <c r="D176" s="4" t="s">
        <v>97</v>
      </c>
      <c r="E176" s="4" t="s">
        <v>98</v>
      </c>
      <c r="F176" s="4" t="s">
        <v>179</v>
      </c>
      <c r="G176" s="4" t="n">
        <v>20</v>
      </c>
      <c r="H176" s="4" t="s">
        <v>168</v>
      </c>
      <c r="I176" s="8" t="n">
        <v>55</v>
      </c>
      <c r="J176" s="8" t="n">
        <v>39.7</v>
      </c>
      <c r="K176" s="9" t="n">
        <f aca="false">MIN(120,J176/I176*100)</f>
        <v>72.1818181818182</v>
      </c>
      <c r="L176" s="9" t="n">
        <f aca="false">K176*G176/100</f>
        <v>14.4363636363636</v>
      </c>
    </row>
    <row r="177" customFormat="false" ht="15" hidden="false" customHeight="false" outlineLevel="0" collapsed="false">
      <c r="A177" s="4" t="s">
        <v>101</v>
      </c>
      <c r="B177" s="4" t="s">
        <v>102</v>
      </c>
      <c r="C177" s="4" t="s">
        <v>5</v>
      </c>
      <c r="D177" s="4" t="s">
        <v>97</v>
      </c>
      <c r="E177" s="4" t="s">
        <v>98</v>
      </c>
      <c r="F177" s="4" t="s">
        <v>180</v>
      </c>
      <c r="G177" s="4" t="n">
        <v>10</v>
      </c>
      <c r="H177" s="4" t="s">
        <v>170</v>
      </c>
      <c r="I177" s="8" t="n">
        <v>25</v>
      </c>
      <c r="J177" s="8" t="n">
        <v>16.9</v>
      </c>
      <c r="K177" s="9" t="n">
        <f aca="false">MIN(120,J177/I177*100)</f>
        <v>67.6</v>
      </c>
      <c r="L177" s="9" t="n">
        <f aca="false">K177*G177/100</f>
        <v>6.76</v>
      </c>
    </row>
    <row r="178" customFormat="false" ht="15" hidden="false" customHeight="false" outlineLevel="0" collapsed="false">
      <c r="A178" s="4" t="s">
        <v>101</v>
      </c>
      <c r="B178" s="4" t="s">
        <v>102</v>
      </c>
      <c r="C178" s="4" t="s">
        <v>5</v>
      </c>
      <c r="D178" s="4" t="s">
        <v>97</v>
      </c>
      <c r="E178" s="4" t="s">
        <v>98</v>
      </c>
      <c r="F178" s="4" t="s">
        <v>181</v>
      </c>
      <c r="G178" s="4" t="n">
        <v>10</v>
      </c>
      <c r="H178" s="4" t="s">
        <v>168</v>
      </c>
      <c r="I178" s="8" t="n">
        <v>96</v>
      </c>
      <c r="J178" s="8" t="n">
        <v>65</v>
      </c>
      <c r="K178" s="9" t="n">
        <f aca="false">MIN(120,J178/I178*100)</f>
        <v>67.7083333333333</v>
      </c>
      <c r="L178" s="9" t="n">
        <f aca="false">K178*G178/100</f>
        <v>6.77083333333334</v>
      </c>
    </row>
    <row r="179" customFormat="false" ht="15" hidden="false" customHeight="false" outlineLevel="0" collapsed="false">
      <c r="A179" s="4" t="s">
        <v>103</v>
      </c>
      <c r="B179" s="4" t="s">
        <v>104</v>
      </c>
      <c r="C179" s="4" t="s">
        <v>5</v>
      </c>
      <c r="D179" s="4" t="s">
        <v>97</v>
      </c>
      <c r="E179" s="4" t="s">
        <v>98</v>
      </c>
      <c r="F179" s="4" t="s">
        <v>176</v>
      </c>
      <c r="G179" s="4" t="n">
        <v>30</v>
      </c>
      <c r="H179" s="4" t="s">
        <v>164</v>
      </c>
      <c r="I179" s="8" t="n">
        <v>4400000</v>
      </c>
      <c r="J179" s="8" t="n">
        <v>3470000</v>
      </c>
      <c r="K179" s="9" t="n">
        <f aca="false">MIN(120,J179/I179*100)</f>
        <v>78.8636363636364</v>
      </c>
      <c r="L179" s="9" t="n">
        <f aca="false">K179*G179/100</f>
        <v>23.6590909090909</v>
      </c>
    </row>
    <row r="180" customFormat="false" ht="15" hidden="false" customHeight="false" outlineLevel="0" collapsed="false">
      <c r="A180" s="4" t="s">
        <v>103</v>
      </c>
      <c r="B180" s="4" t="s">
        <v>104</v>
      </c>
      <c r="C180" s="4" t="s">
        <v>5</v>
      </c>
      <c r="D180" s="4" t="s">
        <v>97</v>
      </c>
      <c r="E180" s="4" t="s">
        <v>98</v>
      </c>
      <c r="F180" s="4" t="s">
        <v>177</v>
      </c>
      <c r="G180" s="4" t="n">
        <v>15</v>
      </c>
      <c r="H180" s="4" t="s">
        <v>170</v>
      </c>
      <c r="I180" s="8" t="n">
        <v>32</v>
      </c>
      <c r="J180" s="8" t="n">
        <v>20.2</v>
      </c>
      <c r="K180" s="9" t="n">
        <f aca="false">MIN(120,J180/I180*100)</f>
        <v>63.125</v>
      </c>
      <c r="L180" s="9" t="n">
        <f aca="false">K180*G180/100</f>
        <v>9.46875</v>
      </c>
    </row>
    <row r="181" customFormat="false" ht="15" hidden="false" customHeight="false" outlineLevel="0" collapsed="false">
      <c r="A181" s="4" t="s">
        <v>103</v>
      </c>
      <c r="B181" s="4" t="s">
        <v>104</v>
      </c>
      <c r="C181" s="4" t="s">
        <v>5</v>
      </c>
      <c r="D181" s="4" t="s">
        <v>97</v>
      </c>
      <c r="E181" s="4" t="s">
        <v>98</v>
      </c>
      <c r="F181" s="4" t="s">
        <v>178</v>
      </c>
      <c r="G181" s="4" t="n">
        <v>15</v>
      </c>
      <c r="H181" s="4" t="s">
        <v>166</v>
      </c>
      <c r="I181" s="8" t="n">
        <v>220</v>
      </c>
      <c r="J181" s="8" t="n">
        <v>156</v>
      </c>
      <c r="K181" s="9" t="n">
        <f aca="false">MIN(120,J181/I181*100)</f>
        <v>70.9090909090909</v>
      </c>
      <c r="L181" s="9" t="n">
        <f aca="false">K181*G181/100</f>
        <v>10.6363636363636</v>
      </c>
    </row>
    <row r="182" customFormat="false" ht="15" hidden="false" customHeight="false" outlineLevel="0" collapsed="false">
      <c r="A182" s="4" t="s">
        <v>103</v>
      </c>
      <c r="B182" s="4" t="s">
        <v>104</v>
      </c>
      <c r="C182" s="4" t="s">
        <v>5</v>
      </c>
      <c r="D182" s="4" t="s">
        <v>97</v>
      </c>
      <c r="E182" s="4" t="s">
        <v>98</v>
      </c>
      <c r="F182" s="4" t="s">
        <v>179</v>
      </c>
      <c r="G182" s="4" t="n">
        <v>20</v>
      </c>
      <c r="H182" s="4" t="s">
        <v>168</v>
      </c>
      <c r="I182" s="8" t="n">
        <v>62</v>
      </c>
      <c r="J182" s="8" t="n">
        <v>45.2</v>
      </c>
      <c r="K182" s="9" t="n">
        <f aca="false">MIN(120,J182/I182*100)</f>
        <v>72.9032258064516</v>
      </c>
      <c r="L182" s="9" t="n">
        <f aca="false">K182*G182/100</f>
        <v>14.5806451612903</v>
      </c>
    </row>
    <row r="183" customFormat="false" ht="15" hidden="false" customHeight="false" outlineLevel="0" collapsed="false">
      <c r="A183" s="4" t="s">
        <v>103</v>
      </c>
      <c r="B183" s="4" t="s">
        <v>104</v>
      </c>
      <c r="C183" s="4" t="s">
        <v>5</v>
      </c>
      <c r="D183" s="4" t="s">
        <v>97</v>
      </c>
      <c r="E183" s="4" t="s">
        <v>98</v>
      </c>
      <c r="F183" s="4" t="s">
        <v>180</v>
      </c>
      <c r="G183" s="4" t="n">
        <v>10</v>
      </c>
      <c r="H183" s="4" t="s">
        <v>170</v>
      </c>
      <c r="I183" s="8" t="n">
        <v>30</v>
      </c>
      <c r="J183" s="8" t="n">
        <v>22.9</v>
      </c>
      <c r="K183" s="9" t="n">
        <f aca="false">MIN(120,J183/I183*100)</f>
        <v>76.3333333333333</v>
      </c>
      <c r="L183" s="9" t="n">
        <f aca="false">K183*G183/100</f>
        <v>7.63333333333333</v>
      </c>
    </row>
    <row r="184" customFormat="false" ht="15" hidden="false" customHeight="false" outlineLevel="0" collapsed="false">
      <c r="A184" s="4" t="s">
        <v>103</v>
      </c>
      <c r="B184" s="4" t="s">
        <v>104</v>
      </c>
      <c r="C184" s="4" t="s">
        <v>5</v>
      </c>
      <c r="D184" s="4" t="s">
        <v>97</v>
      </c>
      <c r="E184" s="4" t="s">
        <v>98</v>
      </c>
      <c r="F184" s="4" t="s">
        <v>181</v>
      </c>
      <c r="G184" s="4" t="n">
        <v>10</v>
      </c>
      <c r="H184" s="4" t="s">
        <v>168</v>
      </c>
      <c r="I184" s="8" t="n">
        <v>95</v>
      </c>
      <c r="J184" s="8" t="n">
        <v>73.5</v>
      </c>
      <c r="K184" s="9" t="n">
        <f aca="false">MIN(120,J184/I184*100)</f>
        <v>77.3684210526316</v>
      </c>
      <c r="L184" s="9" t="n">
        <f aca="false">K184*G184/100</f>
        <v>7.73684210526316</v>
      </c>
    </row>
    <row r="185" customFormat="false" ht="15" hidden="false" customHeight="false" outlineLevel="0" collapsed="false">
      <c r="A185" s="4" t="s">
        <v>105</v>
      </c>
      <c r="B185" s="4" t="s">
        <v>106</v>
      </c>
      <c r="C185" s="4" t="s">
        <v>5</v>
      </c>
      <c r="D185" s="4" t="s">
        <v>97</v>
      </c>
      <c r="E185" s="4" t="s">
        <v>98</v>
      </c>
      <c r="F185" s="4" t="s">
        <v>176</v>
      </c>
      <c r="G185" s="4" t="n">
        <v>30</v>
      </c>
      <c r="H185" s="4" t="s">
        <v>164</v>
      </c>
      <c r="I185" s="8" t="n">
        <v>4600000</v>
      </c>
      <c r="J185" s="8" t="n">
        <v>3120000</v>
      </c>
      <c r="K185" s="9" t="n">
        <f aca="false">MIN(120,J185/I185*100)</f>
        <v>67.8260869565217</v>
      </c>
      <c r="L185" s="9" t="n">
        <f aca="false">K185*G185/100</f>
        <v>20.3478260869565</v>
      </c>
    </row>
    <row r="186" customFormat="false" ht="15" hidden="false" customHeight="false" outlineLevel="0" collapsed="false">
      <c r="A186" s="4" t="s">
        <v>105</v>
      </c>
      <c r="B186" s="4" t="s">
        <v>106</v>
      </c>
      <c r="C186" s="4" t="s">
        <v>5</v>
      </c>
      <c r="D186" s="4" t="s">
        <v>97</v>
      </c>
      <c r="E186" s="4" t="s">
        <v>98</v>
      </c>
      <c r="F186" s="4" t="s">
        <v>177</v>
      </c>
      <c r="G186" s="4" t="n">
        <v>15</v>
      </c>
      <c r="H186" s="4" t="s">
        <v>170</v>
      </c>
      <c r="I186" s="8" t="n">
        <v>30</v>
      </c>
      <c r="J186" s="8" t="n">
        <v>24.3</v>
      </c>
      <c r="K186" s="9" t="n">
        <f aca="false">MIN(120,J186/I186*100)</f>
        <v>81</v>
      </c>
      <c r="L186" s="9" t="n">
        <f aca="false">K186*G186/100</f>
        <v>12.15</v>
      </c>
    </row>
    <row r="187" customFormat="false" ht="15" hidden="false" customHeight="false" outlineLevel="0" collapsed="false">
      <c r="A187" s="4" t="s">
        <v>105</v>
      </c>
      <c r="B187" s="4" t="s">
        <v>106</v>
      </c>
      <c r="C187" s="4" t="s">
        <v>5</v>
      </c>
      <c r="D187" s="4" t="s">
        <v>97</v>
      </c>
      <c r="E187" s="4" t="s">
        <v>98</v>
      </c>
      <c r="F187" s="4" t="s">
        <v>178</v>
      </c>
      <c r="G187" s="4" t="n">
        <v>15</v>
      </c>
      <c r="H187" s="4" t="s">
        <v>166</v>
      </c>
      <c r="I187" s="8" t="n">
        <v>230</v>
      </c>
      <c r="J187" s="8" t="n">
        <v>162</v>
      </c>
      <c r="K187" s="9" t="n">
        <f aca="false">MIN(120,J187/I187*100)</f>
        <v>70.4347826086957</v>
      </c>
      <c r="L187" s="9" t="n">
        <f aca="false">K187*G187/100</f>
        <v>10.5652173913043</v>
      </c>
    </row>
    <row r="188" customFormat="false" ht="15" hidden="false" customHeight="false" outlineLevel="0" collapsed="false">
      <c r="A188" s="4" t="s">
        <v>105</v>
      </c>
      <c r="B188" s="4" t="s">
        <v>106</v>
      </c>
      <c r="C188" s="4" t="s">
        <v>5</v>
      </c>
      <c r="D188" s="4" t="s">
        <v>97</v>
      </c>
      <c r="E188" s="4" t="s">
        <v>98</v>
      </c>
      <c r="F188" s="4" t="s">
        <v>179</v>
      </c>
      <c r="G188" s="4" t="n">
        <v>20</v>
      </c>
      <c r="H188" s="4" t="s">
        <v>168</v>
      </c>
      <c r="I188" s="8" t="n">
        <v>63</v>
      </c>
      <c r="J188" s="8" t="n">
        <v>46</v>
      </c>
      <c r="K188" s="9" t="n">
        <f aca="false">MIN(120,J188/I188*100)</f>
        <v>73.015873015873</v>
      </c>
      <c r="L188" s="9" t="n">
        <f aca="false">K188*G188/100</f>
        <v>14.6031746031746</v>
      </c>
    </row>
    <row r="189" customFormat="false" ht="15" hidden="false" customHeight="false" outlineLevel="0" collapsed="false">
      <c r="A189" s="4" t="s">
        <v>105</v>
      </c>
      <c r="B189" s="4" t="s">
        <v>106</v>
      </c>
      <c r="C189" s="4" t="s">
        <v>5</v>
      </c>
      <c r="D189" s="4" t="s">
        <v>97</v>
      </c>
      <c r="E189" s="4" t="s">
        <v>98</v>
      </c>
      <c r="F189" s="4" t="s">
        <v>180</v>
      </c>
      <c r="G189" s="4" t="n">
        <v>10</v>
      </c>
      <c r="H189" s="4" t="s">
        <v>170</v>
      </c>
      <c r="I189" s="8" t="n">
        <v>29</v>
      </c>
      <c r="J189" s="8" t="n">
        <v>19.7</v>
      </c>
      <c r="K189" s="9" t="n">
        <f aca="false">MIN(120,J189/I189*100)</f>
        <v>67.9310344827586</v>
      </c>
      <c r="L189" s="9" t="n">
        <f aca="false">K189*G189/100</f>
        <v>6.79310344827586</v>
      </c>
    </row>
    <row r="190" customFormat="false" ht="15" hidden="false" customHeight="false" outlineLevel="0" collapsed="false">
      <c r="A190" s="4" t="s">
        <v>105</v>
      </c>
      <c r="B190" s="4" t="s">
        <v>106</v>
      </c>
      <c r="C190" s="4" t="s">
        <v>5</v>
      </c>
      <c r="D190" s="4" t="s">
        <v>97</v>
      </c>
      <c r="E190" s="4" t="s">
        <v>98</v>
      </c>
      <c r="F190" s="4" t="s">
        <v>181</v>
      </c>
      <c r="G190" s="4" t="n">
        <v>10</v>
      </c>
      <c r="H190" s="4" t="s">
        <v>168</v>
      </c>
      <c r="I190" s="8" t="n">
        <v>96</v>
      </c>
      <c r="J190" s="8" t="n">
        <v>65.1</v>
      </c>
      <c r="K190" s="9" t="n">
        <f aca="false">MIN(120,J190/I190*100)</f>
        <v>67.8125</v>
      </c>
      <c r="L190" s="9" t="n">
        <f aca="false">K190*G190/100</f>
        <v>6.78125</v>
      </c>
    </row>
    <row r="191" customFormat="false" ht="15" hidden="false" customHeight="false" outlineLevel="0" collapsed="false">
      <c r="A191" s="4" t="s">
        <v>107</v>
      </c>
      <c r="B191" s="4" t="s">
        <v>108</v>
      </c>
      <c r="C191" s="4" t="s">
        <v>7</v>
      </c>
      <c r="D191" s="4" t="s">
        <v>109</v>
      </c>
      <c r="E191" s="4" t="s">
        <v>98</v>
      </c>
      <c r="F191" s="4" t="s">
        <v>171</v>
      </c>
      <c r="G191" s="4" t="n">
        <v>35</v>
      </c>
      <c r="H191" s="4" t="s">
        <v>164</v>
      </c>
      <c r="I191" s="8" t="n">
        <v>18000000</v>
      </c>
      <c r="J191" s="8" t="n">
        <v>17460000</v>
      </c>
      <c r="K191" s="9" t="n">
        <f aca="false">MIN(120,J191/I191*100)</f>
        <v>97</v>
      </c>
      <c r="L191" s="9" t="n">
        <f aca="false">K191*G191/100</f>
        <v>33.95</v>
      </c>
    </row>
    <row r="192" customFormat="false" ht="15" hidden="false" customHeight="false" outlineLevel="0" collapsed="false">
      <c r="A192" s="4" t="s">
        <v>107</v>
      </c>
      <c r="B192" s="4" t="s">
        <v>108</v>
      </c>
      <c r="C192" s="4" t="s">
        <v>7</v>
      </c>
      <c r="D192" s="4" t="s">
        <v>109</v>
      </c>
      <c r="E192" s="4" t="s">
        <v>98</v>
      </c>
      <c r="F192" s="4" t="s">
        <v>172</v>
      </c>
      <c r="G192" s="4" t="n">
        <v>20</v>
      </c>
      <c r="H192" s="4" t="s">
        <v>168</v>
      </c>
      <c r="I192" s="8" t="n">
        <v>81</v>
      </c>
      <c r="J192" s="8" t="n">
        <v>76.7</v>
      </c>
      <c r="K192" s="9" t="n">
        <f aca="false">MIN(120,J192/I192*100)</f>
        <v>94.6913580246914</v>
      </c>
      <c r="L192" s="9" t="n">
        <f aca="false">K192*G192/100</f>
        <v>18.9382716049383</v>
      </c>
    </row>
    <row r="193" customFormat="false" ht="15" hidden="false" customHeight="false" outlineLevel="0" collapsed="false">
      <c r="A193" s="4" t="s">
        <v>107</v>
      </c>
      <c r="B193" s="4" t="s">
        <v>108</v>
      </c>
      <c r="C193" s="4" t="s">
        <v>7</v>
      </c>
      <c r="D193" s="4" t="s">
        <v>109</v>
      </c>
      <c r="E193" s="4" t="s">
        <v>98</v>
      </c>
      <c r="F193" s="4" t="s">
        <v>173</v>
      </c>
      <c r="G193" s="4" t="n">
        <v>20</v>
      </c>
      <c r="H193" s="4" t="s">
        <v>168</v>
      </c>
      <c r="I193" s="8" t="n">
        <v>61</v>
      </c>
      <c r="J193" s="8" t="n">
        <v>68.9</v>
      </c>
      <c r="K193" s="9" t="n">
        <f aca="false">MIN(120,J193/I193*100)</f>
        <v>112.950819672131</v>
      </c>
      <c r="L193" s="9" t="n">
        <f aca="false">K193*G193/100</f>
        <v>22.5901639344262</v>
      </c>
    </row>
    <row r="194" customFormat="false" ht="15" hidden="false" customHeight="false" outlineLevel="0" collapsed="false">
      <c r="A194" s="4" t="s">
        <v>107</v>
      </c>
      <c r="B194" s="4" t="s">
        <v>108</v>
      </c>
      <c r="C194" s="4" t="s">
        <v>7</v>
      </c>
      <c r="D194" s="4" t="s">
        <v>109</v>
      </c>
      <c r="E194" s="4" t="s">
        <v>98</v>
      </c>
      <c r="F194" s="4" t="s">
        <v>174</v>
      </c>
      <c r="G194" s="4" t="n">
        <v>15</v>
      </c>
      <c r="H194" s="4" t="s">
        <v>170</v>
      </c>
      <c r="I194" s="8" t="n">
        <v>86</v>
      </c>
      <c r="J194" s="8" t="n">
        <v>87.7</v>
      </c>
      <c r="K194" s="9" t="n">
        <f aca="false">MIN(120,J194/I194*100)</f>
        <v>101.976744186047</v>
      </c>
      <c r="L194" s="9" t="n">
        <f aca="false">K194*G194/100</f>
        <v>15.296511627907</v>
      </c>
    </row>
    <row r="195" customFormat="false" ht="15" hidden="false" customHeight="false" outlineLevel="0" collapsed="false">
      <c r="A195" s="4" t="s">
        <v>107</v>
      </c>
      <c r="B195" s="4" t="s">
        <v>108</v>
      </c>
      <c r="C195" s="4" t="s">
        <v>7</v>
      </c>
      <c r="D195" s="4" t="s">
        <v>109</v>
      </c>
      <c r="E195" s="4" t="s">
        <v>98</v>
      </c>
      <c r="F195" s="4" t="s">
        <v>175</v>
      </c>
      <c r="G195" s="4" t="n">
        <v>10</v>
      </c>
      <c r="H195" s="4" t="s">
        <v>168</v>
      </c>
      <c r="I195" s="8" t="n">
        <v>66</v>
      </c>
      <c r="J195" s="8" t="n">
        <v>61.7</v>
      </c>
      <c r="K195" s="9" t="n">
        <f aca="false">MIN(120,J195/I195*100)</f>
        <v>93.4848484848485</v>
      </c>
      <c r="L195" s="9" t="n">
        <f aca="false">K195*G195/100</f>
        <v>9.34848484848485</v>
      </c>
    </row>
    <row r="196" customFormat="false" ht="15" hidden="false" customHeight="false" outlineLevel="0" collapsed="false">
      <c r="A196" s="4" t="s">
        <v>110</v>
      </c>
      <c r="B196" s="4" t="s">
        <v>111</v>
      </c>
      <c r="C196" s="4" t="s">
        <v>5</v>
      </c>
      <c r="D196" s="4" t="s">
        <v>109</v>
      </c>
      <c r="E196" s="4" t="s">
        <v>98</v>
      </c>
      <c r="F196" s="4" t="s">
        <v>176</v>
      </c>
      <c r="G196" s="4" t="n">
        <v>30</v>
      </c>
      <c r="H196" s="4" t="s">
        <v>164</v>
      </c>
      <c r="I196" s="8" t="n">
        <v>4400000</v>
      </c>
      <c r="J196" s="8" t="n">
        <v>2950000</v>
      </c>
      <c r="K196" s="9" t="n">
        <f aca="false">MIN(120,J196/I196*100)</f>
        <v>67.0454545454546</v>
      </c>
      <c r="L196" s="9" t="n">
        <f aca="false">K196*G196/100</f>
        <v>20.1136363636364</v>
      </c>
    </row>
    <row r="197" customFormat="false" ht="15" hidden="false" customHeight="false" outlineLevel="0" collapsed="false">
      <c r="A197" s="4" t="s">
        <v>110</v>
      </c>
      <c r="B197" s="4" t="s">
        <v>111</v>
      </c>
      <c r="C197" s="4" t="s">
        <v>5</v>
      </c>
      <c r="D197" s="4" t="s">
        <v>109</v>
      </c>
      <c r="E197" s="4" t="s">
        <v>98</v>
      </c>
      <c r="F197" s="4" t="s">
        <v>177</v>
      </c>
      <c r="G197" s="4" t="n">
        <v>15</v>
      </c>
      <c r="H197" s="4" t="s">
        <v>170</v>
      </c>
      <c r="I197" s="8" t="n">
        <v>30</v>
      </c>
      <c r="J197" s="8" t="n">
        <v>19.7</v>
      </c>
      <c r="K197" s="9" t="n">
        <f aca="false">MIN(120,J197/I197*100)</f>
        <v>65.6666666666667</v>
      </c>
      <c r="L197" s="9" t="n">
        <f aca="false">K197*G197/100</f>
        <v>9.85</v>
      </c>
    </row>
    <row r="198" customFormat="false" ht="15" hidden="false" customHeight="false" outlineLevel="0" collapsed="false">
      <c r="A198" s="4" t="s">
        <v>110</v>
      </c>
      <c r="B198" s="4" t="s">
        <v>111</v>
      </c>
      <c r="C198" s="4" t="s">
        <v>5</v>
      </c>
      <c r="D198" s="4" t="s">
        <v>109</v>
      </c>
      <c r="E198" s="4" t="s">
        <v>98</v>
      </c>
      <c r="F198" s="4" t="s">
        <v>178</v>
      </c>
      <c r="G198" s="4" t="n">
        <v>15</v>
      </c>
      <c r="H198" s="4" t="s">
        <v>166</v>
      </c>
      <c r="I198" s="8" t="n">
        <v>250</v>
      </c>
      <c r="J198" s="8" t="n">
        <v>162</v>
      </c>
      <c r="K198" s="9" t="n">
        <f aca="false">MIN(120,J198/I198*100)</f>
        <v>64.8</v>
      </c>
      <c r="L198" s="9" t="n">
        <f aca="false">K198*G198/100</f>
        <v>9.72</v>
      </c>
    </row>
    <row r="199" customFormat="false" ht="15" hidden="false" customHeight="false" outlineLevel="0" collapsed="false">
      <c r="A199" s="4" t="s">
        <v>110</v>
      </c>
      <c r="B199" s="4" t="s">
        <v>111</v>
      </c>
      <c r="C199" s="4" t="s">
        <v>5</v>
      </c>
      <c r="D199" s="4" t="s">
        <v>109</v>
      </c>
      <c r="E199" s="4" t="s">
        <v>98</v>
      </c>
      <c r="F199" s="4" t="s">
        <v>179</v>
      </c>
      <c r="G199" s="4" t="n">
        <v>20</v>
      </c>
      <c r="H199" s="4" t="s">
        <v>168</v>
      </c>
      <c r="I199" s="8" t="n">
        <v>54</v>
      </c>
      <c r="J199" s="8" t="n">
        <v>33.4</v>
      </c>
      <c r="K199" s="9" t="n">
        <f aca="false">MIN(120,J199/I199*100)</f>
        <v>61.8518518518519</v>
      </c>
      <c r="L199" s="9" t="n">
        <f aca="false">K199*G199/100</f>
        <v>12.3703703703704</v>
      </c>
    </row>
    <row r="200" customFormat="false" ht="15" hidden="false" customHeight="false" outlineLevel="0" collapsed="false">
      <c r="A200" s="4" t="s">
        <v>110</v>
      </c>
      <c r="B200" s="4" t="s">
        <v>111</v>
      </c>
      <c r="C200" s="4" t="s">
        <v>5</v>
      </c>
      <c r="D200" s="4" t="s">
        <v>109</v>
      </c>
      <c r="E200" s="4" t="s">
        <v>98</v>
      </c>
      <c r="F200" s="4" t="s">
        <v>180</v>
      </c>
      <c r="G200" s="4" t="n">
        <v>10</v>
      </c>
      <c r="H200" s="4" t="s">
        <v>170</v>
      </c>
      <c r="I200" s="8" t="n">
        <v>27</v>
      </c>
      <c r="J200" s="8" t="n">
        <v>16.4</v>
      </c>
      <c r="K200" s="9" t="n">
        <f aca="false">MIN(120,J200/I200*100)</f>
        <v>60.7407407407407</v>
      </c>
      <c r="L200" s="9" t="n">
        <f aca="false">K200*G200/100</f>
        <v>6.07407407407407</v>
      </c>
    </row>
    <row r="201" customFormat="false" ht="15" hidden="false" customHeight="false" outlineLevel="0" collapsed="false">
      <c r="A201" s="4" t="s">
        <v>110</v>
      </c>
      <c r="B201" s="4" t="s">
        <v>111</v>
      </c>
      <c r="C201" s="4" t="s">
        <v>5</v>
      </c>
      <c r="D201" s="4" t="s">
        <v>109</v>
      </c>
      <c r="E201" s="4" t="s">
        <v>98</v>
      </c>
      <c r="F201" s="4" t="s">
        <v>181</v>
      </c>
      <c r="G201" s="4" t="n">
        <v>10</v>
      </c>
      <c r="H201" s="4" t="s">
        <v>168</v>
      </c>
      <c r="I201" s="8" t="n">
        <v>99</v>
      </c>
      <c r="J201" s="8" t="n">
        <v>62.8</v>
      </c>
      <c r="K201" s="9" t="n">
        <f aca="false">MIN(120,J201/I201*100)</f>
        <v>63.4343434343434</v>
      </c>
      <c r="L201" s="9" t="n">
        <f aca="false">K201*G201/100</f>
        <v>6.34343434343434</v>
      </c>
    </row>
    <row r="202" customFormat="false" ht="15" hidden="false" customHeight="false" outlineLevel="0" collapsed="false">
      <c r="A202" s="4" t="s">
        <v>112</v>
      </c>
      <c r="B202" s="4" t="s">
        <v>113</v>
      </c>
      <c r="C202" s="4" t="s">
        <v>5</v>
      </c>
      <c r="D202" s="4" t="s">
        <v>109</v>
      </c>
      <c r="E202" s="4" t="s">
        <v>98</v>
      </c>
      <c r="F202" s="4" t="s">
        <v>176</v>
      </c>
      <c r="G202" s="4" t="n">
        <v>30</v>
      </c>
      <c r="H202" s="4" t="s">
        <v>164</v>
      </c>
      <c r="I202" s="8" t="n">
        <v>4500000</v>
      </c>
      <c r="J202" s="8" t="n">
        <v>4010000</v>
      </c>
      <c r="K202" s="9" t="n">
        <f aca="false">MIN(120,J202/I202*100)</f>
        <v>89.1111111111111</v>
      </c>
      <c r="L202" s="9" t="n">
        <f aca="false">K202*G202/100</f>
        <v>26.7333333333333</v>
      </c>
    </row>
    <row r="203" customFormat="false" ht="15" hidden="false" customHeight="false" outlineLevel="0" collapsed="false">
      <c r="A203" s="4" t="s">
        <v>112</v>
      </c>
      <c r="B203" s="4" t="s">
        <v>113</v>
      </c>
      <c r="C203" s="4" t="s">
        <v>5</v>
      </c>
      <c r="D203" s="4" t="s">
        <v>109</v>
      </c>
      <c r="E203" s="4" t="s">
        <v>98</v>
      </c>
      <c r="F203" s="4" t="s">
        <v>177</v>
      </c>
      <c r="G203" s="4" t="n">
        <v>15</v>
      </c>
      <c r="H203" s="4" t="s">
        <v>170</v>
      </c>
      <c r="I203" s="8" t="n">
        <v>35</v>
      </c>
      <c r="J203" s="8" t="n">
        <v>33.2</v>
      </c>
      <c r="K203" s="9" t="n">
        <f aca="false">MIN(120,J203/I203*100)</f>
        <v>94.8571428571429</v>
      </c>
      <c r="L203" s="9" t="n">
        <f aca="false">K203*G203/100</f>
        <v>14.2285714285714</v>
      </c>
    </row>
    <row r="204" customFormat="false" ht="15" hidden="false" customHeight="false" outlineLevel="0" collapsed="false">
      <c r="A204" s="4" t="s">
        <v>112</v>
      </c>
      <c r="B204" s="4" t="s">
        <v>113</v>
      </c>
      <c r="C204" s="4" t="s">
        <v>5</v>
      </c>
      <c r="D204" s="4" t="s">
        <v>109</v>
      </c>
      <c r="E204" s="4" t="s">
        <v>98</v>
      </c>
      <c r="F204" s="4" t="s">
        <v>178</v>
      </c>
      <c r="G204" s="4" t="n">
        <v>15</v>
      </c>
      <c r="H204" s="4" t="s">
        <v>166</v>
      </c>
      <c r="I204" s="8" t="n">
        <v>230</v>
      </c>
      <c r="J204" s="8" t="n">
        <v>212</v>
      </c>
      <c r="K204" s="9" t="n">
        <f aca="false">MIN(120,J204/I204*100)</f>
        <v>92.1739130434783</v>
      </c>
      <c r="L204" s="9" t="n">
        <f aca="false">K204*G204/100</f>
        <v>13.8260869565217</v>
      </c>
    </row>
    <row r="205" customFormat="false" ht="15" hidden="false" customHeight="false" outlineLevel="0" collapsed="false">
      <c r="A205" s="4" t="s">
        <v>112</v>
      </c>
      <c r="B205" s="4" t="s">
        <v>113</v>
      </c>
      <c r="C205" s="4" t="s">
        <v>5</v>
      </c>
      <c r="D205" s="4" t="s">
        <v>109</v>
      </c>
      <c r="E205" s="4" t="s">
        <v>98</v>
      </c>
      <c r="F205" s="4" t="s">
        <v>179</v>
      </c>
      <c r="G205" s="4" t="n">
        <v>20</v>
      </c>
      <c r="H205" s="4" t="s">
        <v>168</v>
      </c>
      <c r="I205" s="8" t="n">
        <v>58</v>
      </c>
      <c r="J205" s="8" t="n">
        <v>49.9</v>
      </c>
      <c r="K205" s="9" t="n">
        <f aca="false">MIN(120,J205/I205*100)</f>
        <v>86.0344827586207</v>
      </c>
      <c r="L205" s="9" t="n">
        <f aca="false">K205*G205/100</f>
        <v>17.2068965517241</v>
      </c>
    </row>
    <row r="206" customFormat="false" ht="15" hidden="false" customHeight="false" outlineLevel="0" collapsed="false">
      <c r="A206" s="4" t="s">
        <v>112</v>
      </c>
      <c r="B206" s="4" t="s">
        <v>113</v>
      </c>
      <c r="C206" s="4" t="s">
        <v>5</v>
      </c>
      <c r="D206" s="4" t="s">
        <v>109</v>
      </c>
      <c r="E206" s="4" t="s">
        <v>98</v>
      </c>
      <c r="F206" s="4" t="s">
        <v>180</v>
      </c>
      <c r="G206" s="4" t="n">
        <v>10</v>
      </c>
      <c r="H206" s="4" t="s">
        <v>170</v>
      </c>
      <c r="I206" s="8" t="n">
        <v>29</v>
      </c>
      <c r="J206" s="8" t="n">
        <v>25.6</v>
      </c>
      <c r="K206" s="9" t="n">
        <f aca="false">MIN(120,J206/I206*100)</f>
        <v>88.2758620689655</v>
      </c>
      <c r="L206" s="9" t="n">
        <f aca="false">K206*G206/100</f>
        <v>8.82758620689655</v>
      </c>
    </row>
    <row r="207" customFormat="false" ht="15" hidden="false" customHeight="false" outlineLevel="0" collapsed="false">
      <c r="A207" s="4" t="s">
        <v>112</v>
      </c>
      <c r="B207" s="4" t="s">
        <v>113</v>
      </c>
      <c r="C207" s="4" t="s">
        <v>5</v>
      </c>
      <c r="D207" s="4" t="s">
        <v>109</v>
      </c>
      <c r="E207" s="4" t="s">
        <v>98</v>
      </c>
      <c r="F207" s="4" t="s">
        <v>181</v>
      </c>
      <c r="G207" s="4" t="n">
        <v>10</v>
      </c>
      <c r="H207" s="4" t="s">
        <v>168</v>
      </c>
      <c r="I207" s="8" t="n">
        <v>101</v>
      </c>
      <c r="J207" s="8" t="n">
        <v>107.3</v>
      </c>
      <c r="K207" s="9" t="n">
        <f aca="false">MIN(120,J207/I207*100)</f>
        <v>106.237623762376</v>
      </c>
      <c r="L207" s="9" t="n">
        <f aca="false">K207*G207/100</f>
        <v>10.6237623762376</v>
      </c>
    </row>
    <row r="208" customFormat="false" ht="15" hidden="false" customHeight="false" outlineLevel="0" collapsed="false">
      <c r="A208" s="4" t="s">
        <v>114</v>
      </c>
      <c r="B208" s="4" t="s">
        <v>115</v>
      </c>
      <c r="C208" s="4" t="s">
        <v>5</v>
      </c>
      <c r="D208" s="4" t="s">
        <v>109</v>
      </c>
      <c r="E208" s="4" t="s">
        <v>98</v>
      </c>
      <c r="F208" s="4" t="s">
        <v>176</v>
      </c>
      <c r="G208" s="4" t="n">
        <v>30</v>
      </c>
      <c r="H208" s="4" t="s">
        <v>164</v>
      </c>
      <c r="I208" s="8" t="n">
        <v>4700000</v>
      </c>
      <c r="J208" s="8" t="n">
        <v>2130000</v>
      </c>
      <c r="K208" s="9" t="n">
        <f aca="false">MIN(120,J208/I208*100)</f>
        <v>45.3191489361702</v>
      </c>
      <c r="L208" s="9" t="n">
        <f aca="false">K208*G208/100</f>
        <v>13.5957446808511</v>
      </c>
    </row>
    <row r="209" customFormat="false" ht="15" hidden="false" customHeight="false" outlineLevel="0" collapsed="false">
      <c r="A209" s="4" t="s">
        <v>114</v>
      </c>
      <c r="B209" s="4" t="s">
        <v>115</v>
      </c>
      <c r="C209" s="4" t="s">
        <v>5</v>
      </c>
      <c r="D209" s="4" t="s">
        <v>109</v>
      </c>
      <c r="E209" s="4" t="s">
        <v>98</v>
      </c>
      <c r="F209" s="4" t="s">
        <v>177</v>
      </c>
      <c r="G209" s="4" t="n">
        <v>15</v>
      </c>
      <c r="H209" s="4" t="s">
        <v>170</v>
      </c>
      <c r="I209" s="8" t="n">
        <v>34</v>
      </c>
      <c r="J209" s="8" t="n">
        <v>15.9</v>
      </c>
      <c r="K209" s="9" t="n">
        <f aca="false">MIN(120,J209/I209*100)</f>
        <v>46.7647058823529</v>
      </c>
      <c r="L209" s="9" t="n">
        <f aca="false">K209*G209/100</f>
        <v>7.01470588235294</v>
      </c>
    </row>
    <row r="210" customFormat="false" ht="15" hidden="false" customHeight="false" outlineLevel="0" collapsed="false">
      <c r="A210" s="4" t="s">
        <v>114</v>
      </c>
      <c r="B210" s="4" t="s">
        <v>115</v>
      </c>
      <c r="C210" s="4" t="s">
        <v>5</v>
      </c>
      <c r="D210" s="4" t="s">
        <v>109</v>
      </c>
      <c r="E210" s="4" t="s">
        <v>98</v>
      </c>
      <c r="F210" s="4" t="s">
        <v>178</v>
      </c>
      <c r="G210" s="4" t="n">
        <v>15</v>
      </c>
      <c r="H210" s="4" t="s">
        <v>166</v>
      </c>
      <c r="I210" s="8" t="n">
        <v>240</v>
      </c>
      <c r="J210" s="8" t="n">
        <v>129</v>
      </c>
      <c r="K210" s="9" t="n">
        <f aca="false">MIN(120,J210/I210*100)</f>
        <v>53.75</v>
      </c>
      <c r="L210" s="9" t="n">
        <f aca="false">K210*G210/100</f>
        <v>8.0625</v>
      </c>
    </row>
    <row r="211" customFormat="false" ht="15" hidden="false" customHeight="false" outlineLevel="0" collapsed="false">
      <c r="A211" s="4" t="s">
        <v>114</v>
      </c>
      <c r="B211" s="4" t="s">
        <v>115</v>
      </c>
      <c r="C211" s="4" t="s">
        <v>5</v>
      </c>
      <c r="D211" s="4" t="s">
        <v>109</v>
      </c>
      <c r="E211" s="4" t="s">
        <v>98</v>
      </c>
      <c r="F211" s="4" t="s">
        <v>179</v>
      </c>
      <c r="G211" s="4" t="n">
        <v>20</v>
      </c>
      <c r="H211" s="4" t="s">
        <v>168</v>
      </c>
      <c r="I211" s="8" t="n">
        <v>61</v>
      </c>
      <c r="J211" s="8" t="n">
        <v>34.9</v>
      </c>
      <c r="K211" s="9" t="n">
        <f aca="false">MIN(120,J211/I211*100)</f>
        <v>57.2131147540984</v>
      </c>
      <c r="L211" s="9" t="n">
        <f aca="false">K211*G211/100</f>
        <v>11.4426229508197</v>
      </c>
    </row>
    <row r="212" customFormat="false" ht="15" hidden="false" customHeight="false" outlineLevel="0" collapsed="false">
      <c r="A212" s="4" t="s">
        <v>114</v>
      </c>
      <c r="B212" s="4" t="s">
        <v>115</v>
      </c>
      <c r="C212" s="4" t="s">
        <v>5</v>
      </c>
      <c r="D212" s="4" t="s">
        <v>109</v>
      </c>
      <c r="E212" s="4" t="s">
        <v>98</v>
      </c>
      <c r="F212" s="4" t="s">
        <v>180</v>
      </c>
      <c r="G212" s="4" t="n">
        <v>10</v>
      </c>
      <c r="H212" s="4" t="s">
        <v>170</v>
      </c>
      <c r="I212" s="8" t="n">
        <v>30</v>
      </c>
      <c r="J212" s="8" t="n">
        <v>14.1</v>
      </c>
      <c r="K212" s="9" t="n">
        <f aca="false">MIN(120,J212/I212*100)</f>
        <v>47</v>
      </c>
      <c r="L212" s="9" t="n">
        <f aca="false">K212*G212/100</f>
        <v>4.7</v>
      </c>
    </row>
    <row r="213" customFormat="false" ht="15" hidden="false" customHeight="false" outlineLevel="0" collapsed="false">
      <c r="A213" s="4" t="s">
        <v>114</v>
      </c>
      <c r="B213" s="4" t="s">
        <v>115</v>
      </c>
      <c r="C213" s="4" t="s">
        <v>5</v>
      </c>
      <c r="D213" s="4" t="s">
        <v>109</v>
      </c>
      <c r="E213" s="4" t="s">
        <v>98</v>
      </c>
      <c r="F213" s="4" t="s">
        <v>181</v>
      </c>
      <c r="G213" s="4" t="n">
        <v>10</v>
      </c>
      <c r="H213" s="4" t="s">
        <v>168</v>
      </c>
      <c r="I213" s="8" t="n">
        <v>93</v>
      </c>
      <c r="J213" s="8" t="n">
        <v>43.7</v>
      </c>
      <c r="K213" s="9" t="n">
        <f aca="false">MIN(120,J213/I213*100)</f>
        <v>46.989247311828</v>
      </c>
      <c r="L213" s="9" t="n">
        <f aca="false">K213*G213/100</f>
        <v>4.6989247311828</v>
      </c>
    </row>
    <row r="214" customFormat="false" ht="15" hidden="false" customHeight="false" outlineLevel="0" collapsed="false">
      <c r="A214" s="4" t="s">
        <v>116</v>
      </c>
      <c r="B214" s="4" t="s">
        <v>117</v>
      </c>
      <c r="C214" s="4" t="s">
        <v>7</v>
      </c>
      <c r="D214" s="4" t="s">
        <v>118</v>
      </c>
      <c r="E214" s="4" t="s">
        <v>119</v>
      </c>
      <c r="F214" s="4" t="s">
        <v>171</v>
      </c>
      <c r="G214" s="4" t="n">
        <v>35</v>
      </c>
      <c r="H214" s="4" t="s">
        <v>164</v>
      </c>
      <c r="I214" s="8" t="n">
        <v>18700000</v>
      </c>
      <c r="J214" s="8" t="n">
        <v>15260000</v>
      </c>
      <c r="K214" s="9" t="n">
        <f aca="false">MIN(120,J214/I214*100)</f>
        <v>81.6042780748663</v>
      </c>
      <c r="L214" s="9" t="n">
        <f aca="false">K214*G214/100</f>
        <v>28.5614973262032</v>
      </c>
    </row>
    <row r="215" customFormat="false" ht="15" hidden="false" customHeight="false" outlineLevel="0" collapsed="false">
      <c r="A215" s="4" t="s">
        <v>116</v>
      </c>
      <c r="B215" s="4" t="s">
        <v>117</v>
      </c>
      <c r="C215" s="4" t="s">
        <v>7</v>
      </c>
      <c r="D215" s="4" t="s">
        <v>118</v>
      </c>
      <c r="E215" s="4" t="s">
        <v>119</v>
      </c>
      <c r="F215" s="4" t="s">
        <v>172</v>
      </c>
      <c r="G215" s="4" t="n">
        <v>20</v>
      </c>
      <c r="H215" s="4" t="s">
        <v>168</v>
      </c>
      <c r="I215" s="8" t="n">
        <v>77</v>
      </c>
      <c r="J215" s="8" t="n">
        <v>61.3</v>
      </c>
      <c r="K215" s="9" t="n">
        <f aca="false">MIN(120,J215/I215*100)</f>
        <v>79.6103896103896</v>
      </c>
      <c r="L215" s="9" t="n">
        <f aca="false">K215*G215/100</f>
        <v>15.9220779220779</v>
      </c>
    </row>
    <row r="216" customFormat="false" ht="15" hidden="false" customHeight="false" outlineLevel="0" collapsed="false">
      <c r="A216" s="4" t="s">
        <v>116</v>
      </c>
      <c r="B216" s="4" t="s">
        <v>117</v>
      </c>
      <c r="C216" s="4" t="s">
        <v>7</v>
      </c>
      <c r="D216" s="4" t="s">
        <v>118</v>
      </c>
      <c r="E216" s="4" t="s">
        <v>119</v>
      </c>
      <c r="F216" s="4" t="s">
        <v>173</v>
      </c>
      <c r="G216" s="4" t="n">
        <v>20</v>
      </c>
      <c r="H216" s="4" t="s">
        <v>168</v>
      </c>
      <c r="I216" s="8" t="n">
        <v>58</v>
      </c>
      <c r="J216" s="8" t="n">
        <v>60.4</v>
      </c>
      <c r="K216" s="9" t="n">
        <f aca="false">MIN(120,J216/I216*100)</f>
        <v>104.137931034483</v>
      </c>
      <c r="L216" s="9" t="n">
        <f aca="false">K216*G216/100</f>
        <v>20.8275862068966</v>
      </c>
    </row>
    <row r="217" customFormat="false" ht="15" hidden="false" customHeight="false" outlineLevel="0" collapsed="false">
      <c r="A217" s="4" t="s">
        <v>116</v>
      </c>
      <c r="B217" s="4" t="s">
        <v>117</v>
      </c>
      <c r="C217" s="4" t="s">
        <v>7</v>
      </c>
      <c r="D217" s="4" t="s">
        <v>118</v>
      </c>
      <c r="E217" s="4" t="s">
        <v>119</v>
      </c>
      <c r="F217" s="4" t="s">
        <v>174</v>
      </c>
      <c r="G217" s="4" t="n">
        <v>15</v>
      </c>
      <c r="H217" s="4" t="s">
        <v>170</v>
      </c>
      <c r="I217" s="8" t="n">
        <v>87</v>
      </c>
      <c r="J217" s="8" t="n">
        <v>86</v>
      </c>
      <c r="K217" s="9" t="n">
        <f aca="false">MIN(120,J217/I217*100)</f>
        <v>98.8505747126437</v>
      </c>
      <c r="L217" s="9" t="n">
        <f aca="false">K217*G217/100</f>
        <v>14.8275862068966</v>
      </c>
    </row>
    <row r="218" customFormat="false" ht="15" hidden="false" customHeight="false" outlineLevel="0" collapsed="false">
      <c r="A218" s="4" t="s">
        <v>116</v>
      </c>
      <c r="B218" s="4" t="s">
        <v>117</v>
      </c>
      <c r="C218" s="4" t="s">
        <v>7</v>
      </c>
      <c r="D218" s="4" t="s">
        <v>118</v>
      </c>
      <c r="E218" s="4" t="s">
        <v>119</v>
      </c>
      <c r="F218" s="4" t="s">
        <v>175</v>
      </c>
      <c r="G218" s="4" t="n">
        <v>10</v>
      </c>
      <c r="H218" s="4" t="s">
        <v>168</v>
      </c>
      <c r="I218" s="8" t="n">
        <v>64</v>
      </c>
      <c r="J218" s="8" t="n">
        <v>50.2</v>
      </c>
      <c r="K218" s="9" t="n">
        <f aca="false">MIN(120,J218/I218*100)</f>
        <v>78.4375</v>
      </c>
      <c r="L218" s="9" t="n">
        <f aca="false">K218*G218/100</f>
        <v>7.84375</v>
      </c>
    </row>
    <row r="219" customFormat="false" ht="15" hidden="false" customHeight="false" outlineLevel="0" collapsed="false">
      <c r="A219" s="4" t="s">
        <v>120</v>
      </c>
      <c r="B219" s="4" t="s">
        <v>121</v>
      </c>
      <c r="C219" s="4" t="s">
        <v>5</v>
      </c>
      <c r="D219" s="4" t="s">
        <v>118</v>
      </c>
      <c r="E219" s="4" t="s">
        <v>119</v>
      </c>
      <c r="F219" s="4" t="s">
        <v>176</v>
      </c>
      <c r="G219" s="4" t="n">
        <v>30</v>
      </c>
      <c r="H219" s="4" t="s">
        <v>164</v>
      </c>
      <c r="I219" s="8" t="n">
        <v>4300000</v>
      </c>
      <c r="J219" s="8" t="n">
        <v>2990000</v>
      </c>
      <c r="K219" s="9" t="n">
        <f aca="false">MIN(120,J219/I219*100)</f>
        <v>69.5348837209302</v>
      </c>
      <c r="L219" s="9" t="n">
        <f aca="false">K219*G219/100</f>
        <v>20.8604651162791</v>
      </c>
    </row>
    <row r="220" customFormat="false" ht="15" hidden="false" customHeight="false" outlineLevel="0" collapsed="false">
      <c r="A220" s="4" t="s">
        <v>120</v>
      </c>
      <c r="B220" s="4" t="s">
        <v>121</v>
      </c>
      <c r="C220" s="4" t="s">
        <v>5</v>
      </c>
      <c r="D220" s="4" t="s">
        <v>118</v>
      </c>
      <c r="E220" s="4" t="s">
        <v>119</v>
      </c>
      <c r="F220" s="4" t="s">
        <v>177</v>
      </c>
      <c r="G220" s="4" t="n">
        <v>15</v>
      </c>
      <c r="H220" s="4" t="s">
        <v>170</v>
      </c>
      <c r="I220" s="8" t="n">
        <v>31</v>
      </c>
      <c r="J220" s="8" t="n">
        <v>24.7</v>
      </c>
      <c r="K220" s="9" t="n">
        <f aca="false">MIN(120,J220/I220*100)</f>
        <v>79.6774193548387</v>
      </c>
      <c r="L220" s="9" t="n">
        <f aca="false">K220*G220/100</f>
        <v>11.9516129032258</v>
      </c>
    </row>
    <row r="221" customFormat="false" ht="15" hidden="false" customHeight="false" outlineLevel="0" collapsed="false">
      <c r="A221" s="4" t="s">
        <v>120</v>
      </c>
      <c r="B221" s="4" t="s">
        <v>121</v>
      </c>
      <c r="C221" s="4" t="s">
        <v>5</v>
      </c>
      <c r="D221" s="4" t="s">
        <v>118</v>
      </c>
      <c r="E221" s="4" t="s">
        <v>119</v>
      </c>
      <c r="F221" s="4" t="s">
        <v>178</v>
      </c>
      <c r="G221" s="4" t="n">
        <v>15</v>
      </c>
      <c r="H221" s="4" t="s">
        <v>166</v>
      </c>
      <c r="I221" s="8" t="n">
        <v>230</v>
      </c>
      <c r="J221" s="8" t="n">
        <v>179</v>
      </c>
      <c r="K221" s="9" t="n">
        <f aca="false">MIN(120,J221/I221*100)</f>
        <v>77.8260869565217</v>
      </c>
      <c r="L221" s="9" t="n">
        <f aca="false">K221*G221/100</f>
        <v>11.6739130434783</v>
      </c>
    </row>
    <row r="222" customFormat="false" ht="15" hidden="false" customHeight="false" outlineLevel="0" collapsed="false">
      <c r="A222" s="4" t="s">
        <v>120</v>
      </c>
      <c r="B222" s="4" t="s">
        <v>121</v>
      </c>
      <c r="C222" s="4" t="s">
        <v>5</v>
      </c>
      <c r="D222" s="4" t="s">
        <v>118</v>
      </c>
      <c r="E222" s="4" t="s">
        <v>119</v>
      </c>
      <c r="F222" s="4" t="s">
        <v>179</v>
      </c>
      <c r="G222" s="4" t="n">
        <v>20</v>
      </c>
      <c r="H222" s="4" t="s">
        <v>168</v>
      </c>
      <c r="I222" s="8" t="n">
        <v>55</v>
      </c>
      <c r="J222" s="8" t="n">
        <v>33.5</v>
      </c>
      <c r="K222" s="9" t="n">
        <f aca="false">MIN(120,J222/I222*100)</f>
        <v>60.9090909090909</v>
      </c>
      <c r="L222" s="9" t="n">
        <f aca="false">K222*G222/100</f>
        <v>12.1818181818182</v>
      </c>
    </row>
    <row r="223" customFormat="false" ht="15" hidden="false" customHeight="false" outlineLevel="0" collapsed="false">
      <c r="A223" s="4" t="s">
        <v>120</v>
      </c>
      <c r="B223" s="4" t="s">
        <v>121</v>
      </c>
      <c r="C223" s="4" t="s">
        <v>5</v>
      </c>
      <c r="D223" s="4" t="s">
        <v>118</v>
      </c>
      <c r="E223" s="4" t="s">
        <v>119</v>
      </c>
      <c r="F223" s="4" t="s">
        <v>180</v>
      </c>
      <c r="G223" s="4" t="n">
        <v>10</v>
      </c>
      <c r="H223" s="4" t="s">
        <v>170</v>
      </c>
      <c r="I223" s="8" t="n">
        <v>28</v>
      </c>
      <c r="J223" s="8" t="n">
        <v>20.1</v>
      </c>
      <c r="K223" s="9" t="n">
        <f aca="false">MIN(120,J223/I223*100)</f>
        <v>71.7857142857143</v>
      </c>
      <c r="L223" s="9" t="n">
        <f aca="false">K223*G223/100</f>
        <v>7.17857142857143</v>
      </c>
    </row>
    <row r="224" customFormat="false" ht="15" hidden="false" customHeight="false" outlineLevel="0" collapsed="false">
      <c r="A224" s="4" t="s">
        <v>120</v>
      </c>
      <c r="B224" s="4" t="s">
        <v>121</v>
      </c>
      <c r="C224" s="4" t="s">
        <v>5</v>
      </c>
      <c r="D224" s="4" t="s">
        <v>118</v>
      </c>
      <c r="E224" s="4" t="s">
        <v>119</v>
      </c>
      <c r="F224" s="4" t="s">
        <v>181</v>
      </c>
      <c r="G224" s="4" t="n">
        <v>10</v>
      </c>
      <c r="H224" s="4" t="s">
        <v>168</v>
      </c>
      <c r="I224" s="8" t="n">
        <v>100</v>
      </c>
      <c r="J224" s="8" t="n">
        <v>62.7</v>
      </c>
      <c r="K224" s="9" t="n">
        <f aca="false">MIN(120,J224/I224*100)</f>
        <v>62.7</v>
      </c>
      <c r="L224" s="9" t="n">
        <f aca="false">K224*G224/100</f>
        <v>6.27</v>
      </c>
    </row>
    <row r="225" customFormat="false" ht="15" hidden="false" customHeight="false" outlineLevel="0" collapsed="false">
      <c r="A225" s="4" t="s">
        <v>122</v>
      </c>
      <c r="B225" s="4" t="s">
        <v>123</v>
      </c>
      <c r="C225" s="4" t="s">
        <v>5</v>
      </c>
      <c r="D225" s="4" t="s">
        <v>118</v>
      </c>
      <c r="E225" s="4" t="s">
        <v>119</v>
      </c>
      <c r="F225" s="4" t="s">
        <v>176</v>
      </c>
      <c r="G225" s="4" t="n">
        <v>30</v>
      </c>
      <c r="H225" s="4" t="s">
        <v>164</v>
      </c>
      <c r="I225" s="8" t="n">
        <v>4800000</v>
      </c>
      <c r="J225" s="8" t="n">
        <v>3910000</v>
      </c>
      <c r="K225" s="9" t="n">
        <f aca="false">MIN(120,J225/I225*100)</f>
        <v>81.4583333333333</v>
      </c>
      <c r="L225" s="9" t="n">
        <f aca="false">K225*G225/100</f>
        <v>24.4375</v>
      </c>
    </row>
    <row r="226" customFormat="false" ht="15" hidden="false" customHeight="false" outlineLevel="0" collapsed="false">
      <c r="A226" s="4" t="s">
        <v>122</v>
      </c>
      <c r="B226" s="4" t="s">
        <v>123</v>
      </c>
      <c r="C226" s="4" t="s">
        <v>5</v>
      </c>
      <c r="D226" s="4" t="s">
        <v>118</v>
      </c>
      <c r="E226" s="4" t="s">
        <v>119</v>
      </c>
      <c r="F226" s="4" t="s">
        <v>177</v>
      </c>
      <c r="G226" s="4" t="n">
        <v>15</v>
      </c>
      <c r="H226" s="4" t="s">
        <v>170</v>
      </c>
      <c r="I226" s="8" t="n">
        <v>29</v>
      </c>
      <c r="J226" s="8" t="n">
        <v>19.2</v>
      </c>
      <c r="K226" s="9" t="n">
        <f aca="false">MIN(120,J226/I226*100)</f>
        <v>66.2068965517241</v>
      </c>
      <c r="L226" s="9" t="n">
        <f aca="false">K226*G226/100</f>
        <v>9.93103448275862</v>
      </c>
    </row>
    <row r="227" customFormat="false" ht="15" hidden="false" customHeight="false" outlineLevel="0" collapsed="false">
      <c r="A227" s="4" t="s">
        <v>122</v>
      </c>
      <c r="B227" s="4" t="s">
        <v>123</v>
      </c>
      <c r="C227" s="4" t="s">
        <v>5</v>
      </c>
      <c r="D227" s="4" t="s">
        <v>118</v>
      </c>
      <c r="E227" s="4" t="s">
        <v>119</v>
      </c>
      <c r="F227" s="4" t="s">
        <v>178</v>
      </c>
      <c r="G227" s="4" t="n">
        <v>15</v>
      </c>
      <c r="H227" s="4" t="s">
        <v>166</v>
      </c>
      <c r="I227" s="8" t="n">
        <v>240</v>
      </c>
      <c r="J227" s="8" t="n">
        <v>168</v>
      </c>
      <c r="K227" s="9" t="n">
        <f aca="false">MIN(120,J227/I227*100)</f>
        <v>70</v>
      </c>
      <c r="L227" s="9" t="n">
        <f aca="false">K227*G227/100</f>
        <v>10.5</v>
      </c>
    </row>
    <row r="228" customFormat="false" ht="15" hidden="false" customHeight="false" outlineLevel="0" collapsed="false">
      <c r="A228" s="4" t="s">
        <v>122</v>
      </c>
      <c r="B228" s="4" t="s">
        <v>123</v>
      </c>
      <c r="C228" s="4" t="s">
        <v>5</v>
      </c>
      <c r="D228" s="4" t="s">
        <v>118</v>
      </c>
      <c r="E228" s="4" t="s">
        <v>119</v>
      </c>
      <c r="F228" s="4" t="s">
        <v>179</v>
      </c>
      <c r="G228" s="4" t="n">
        <v>20</v>
      </c>
      <c r="H228" s="4" t="s">
        <v>168</v>
      </c>
      <c r="I228" s="8" t="n">
        <v>61</v>
      </c>
      <c r="J228" s="8" t="n">
        <v>45.3</v>
      </c>
      <c r="K228" s="9" t="n">
        <f aca="false">MIN(120,J228/I228*100)</f>
        <v>74.2622950819672</v>
      </c>
      <c r="L228" s="9" t="n">
        <f aca="false">K228*G228/100</f>
        <v>14.8524590163934</v>
      </c>
    </row>
    <row r="229" customFormat="false" ht="15" hidden="false" customHeight="false" outlineLevel="0" collapsed="false">
      <c r="A229" s="4" t="s">
        <v>122</v>
      </c>
      <c r="B229" s="4" t="s">
        <v>123</v>
      </c>
      <c r="C229" s="4" t="s">
        <v>5</v>
      </c>
      <c r="D229" s="4" t="s">
        <v>118</v>
      </c>
      <c r="E229" s="4" t="s">
        <v>119</v>
      </c>
      <c r="F229" s="4" t="s">
        <v>180</v>
      </c>
      <c r="G229" s="4" t="n">
        <v>10</v>
      </c>
      <c r="H229" s="4" t="s">
        <v>170</v>
      </c>
      <c r="I229" s="8" t="n">
        <v>30</v>
      </c>
      <c r="J229" s="8" t="n">
        <v>20.8</v>
      </c>
      <c r="K229" s="9" t="n">
        <f aca="false">MIN(120,J229/I229*100)</f>
        <v>69.3333333333333</v>
      </c>
      <c r="L229" s="9" t="n">
        <f aca="false">K229*G229/100</f>
        <v>6.93333333333333</v>
      </c>
    </row>
    <row r="230" customFormat="false" ht="15" hidden="false" customHeight="false" outlineLevel="0" collapsed="false">
      <c r="A230" s="4" t="s">
        <v>122</v>
      </c>
      <c r="B230" s="4" t="s">
        <v>123</v>
      </c>
      <c r="C230" s="4" t="s">
        <v>5</v>
      </c>
      <c r="D230" s="4" t="s">
        <v>118</v>
      </c>
      <c r="E230" s="4" t="s">
        <v>119</v>
      </c>
      <c r="F230" s="4" t="s">
        <v>181</v>
      </c>
      <c r="G230" s="4" t="n">
        <v>10</v>
      </c>
      <c r="H230" s="4" t="s">
        <v>168</v>
      </c>
      <c r="I230" s="8" t="n">
        <v>104</v>
      </c>
      <c r="J230" s="8" t="n">
        <v>70.1</v>
      </c>
      <c r="K230" s="9" t="n">
        <f aca="false">MIN(120,J230/I230*100)</f>
        <v>67.4038461538462</v>
      </c>
      <c r="L230" s="9" t="n">
        <f aca="false">K230*G230/100</f>
        <v>6.74038461538461</v>
      </c>
    </row>
    <row r="231" customFormat="false" ht="15" hidden="false" customHeight="false" outlineLevel="0" collapsed="false">
      <c r="A231" s="4" t="s">
        <v>124</v>
      </c>
      <c r="B231" s="4" t="s">
        <v>125</v>
      </c>
      <c r="C231" s="4" t="s">
        <v>5</v>
      </c>
      <c r="D231" s="4" t="s">
        <v>118</v>
      </c>
      <c r="E231" s="4" t="s">
        <v>119</v>
      </c>
      <c r="F231" s="4" t="s">
        <v>176</v>
      </c>
      <c r="G231" s="4" t="n">
        <v>30</v>
      </c>
      <c r="H231" s="4" t="s">
        <v>164</v>
      </c>
      <c r="I231" s="8" t="n">
        <v>4600000</v>
      </c>
      <c r="J231" s="8" t="n">
        <v>3080000</v>
      </c>
      <c r="K231" s="9" t="n">
        <f aca="false">MIN(120,J231/I231*100)</f>
        <v>66.9565217391304</v>
      </c>
      <c r="L231" s="9" t="n">
        <f aca="false">K231*G231/100</f>
        <v>20.0869565217391</v>
      </c>
    </row>
    <row r="232" customFormat="false" ht="15" hidden="false" customHeight="false" outlineLevel="0" collapsed="false">
      <c r="A232" s="4" t="s">
        <v>124</v>
      </c>
      <c r="B232" s="4" t="s">
        <v>125</v>
      </c>
      <c r="C232" s="4" t="s">
        <v>5</v>
      </c>
      <c r="D232" s="4" t="s">
        <v>118</v>
      </c>
      <c r="E232" s="4" t="s">
        <v>119</v>
      </c>
      <c r="F232" s="4" t="s">
        <v>177</v>
      </c>
      <c r="G232" s="4" t="n">
        <v>15</v>
      </c>
      <c r="H232" s="4" t="s">
        <v>170</v>
      </c>
      <c r="I232" s="8" t="n">
        <v>32</v>
      </c>
      <c r="J232" s="8" t="n">
        <v>19</v>
      </c>
      <c r="K232" s="9" t="n">
        <f aca="false">MIN(120,J232/I232*100)</f>
        <v>59.375</v>
      </c>
      <c r="L232" s="9" t="n">
        <f aca="false">K232*G232/100</f>
        <v>8.90625</v>
      </c>
    </row>
    <row r="233" customFormat="false" ht="15" hidden="false" customHeight="false" outlineLevel="0" collapsed="false">
      <c r="A233" s="4" t="s">
        <v>124</v>
      </c>
      <c r="B233" s="4" t="s">
        <v>125</v>
      </c>
      <c r="C233" s="4" t="s">
        <v>5</v>
      </c>
      <c r="D233" s="4" t="s">
        <v>118</v>
      </c>
      <c r="E233" s="4" t="s">
        <v>119</v>
      </c>
      <c r="F233" s="4" t="s">
        <v>178</v>
      </c>
      <c r="G233" s="4" t="n">
        <v>15</v>
      </c>
      <c r="H233" s="4" t="s">
        <v>166</v>
      </c>
      <c r="I233" s="8" t="n">
        <v>260</v>
      </c>
      <c r="J233" s="8" t="n">
        <v>156</v>
      </c>
      <c r="K233" s="9" t="n">
        <f aca="false">MIN(120,J233/I233*100)</f>
        <v>60</v>
      </c>
      <c r="L233" s="9" t="n">
        <f aca="false">K233*G233/100</f>
        <v>9</v>
      </c>
    </row>
    <row r="234" customFormat="false" ht="15" hidden="false" customHeight="false" outlineLevel="0" collapsed="false">
      <c r="A234" s="4" t="s">
        <v>124</v>
      </c>
      <c r="B234" s="4" t="s">
        <v>125</v>
      </c>
      <c r="C234" s="4" t="s">
        <v>5</v>
      </c>
      <c r="D234" s="4" t="s">
        <v>118</v>
      </c>
      <c r="E234" s="4" t="s">
        <v>119</v>
      </c>
      <c r="F234" s="4" t="s">
        <v>179</v>
      </c>
      <c r="G234" s="4" t="n">
        <v>20</v>
      </c>
      <c r="H234" s="4" t="s">
        <v>168</v>
      </c>
      <c r="I234" s="8" t="n">
        <v>63</v>
      </c>
      <c r="J234" s="8" t="n">
        <v>44.7</v>
      </c>
      <c r="K234" s="9" t="n">
        <f aca="false">MIN(120,J234/I234*100)</f>
        <v>70.952380952381</v>
      </c>
      <c r="L234" s="9" t="n">
        <f aca="false">K234*G234/100</f>
        <v>14.1904761904762</v>
      </c>
    </row>
    <row r="235" customFormat="false" ht="15" hidden="false" customHeight="false" outlineLevel="0" collapsed="false">
      <c r="A235" s="4" t="s">
        <v>124</v>
      </c>
      <c r="B235" s="4" t="s">
        <v>125</v>
      </c>
      <c r="C235" s="4" t="s">
        <v>5</v>
      </c>
      <c r="D235" s="4" t="s">
        <v>118</v>
      </c>
      <c r="E235" s="4" t="s">
        <v>119</v>
      </c>
      <c r="F235" s="4" t="s">
        <v>180</v>
      </c>
      <c r="G235" s="4" t="n">
        <v>10</v>
      </c>
      <c r="H235" s="4" t="s">
        <v>170</v>
      </c>
      <c r="I235" s="8" t="n">
        <v>27</v>
      </c>
      <c r="J235" s="8" t="n">
        <v>16.1</v>
      </c>
      <c r="K235" s="9" t="n">
        <f aca="false">MIN(120,J235/I235*100)</f>
        <v>59.6296296296296</v>
      </c>
      <c r="L235" s="9" t="n">
        <f aca="false">K235*G235/100</f>
        <v>5.96296296296296</v>
      </c>
    </row>
    <row r="236" customFormat="false" ht="15" hidden="false" customHeight="false" outlineLevel="0" collapsed="false">
      <c r="A236" s="4" t="s">
        <v>124</v>
      </c>
      <c r="B236" s="4" t="s">
        <v>125</v>
      </c>
      <c r="C236" s="4" t="s">
        <v>5</v>
      </c>
      <c r="D236" s="4" t="s">
        <v>118</v>
      </c>
      <c r="E236" s="4" t="s">
        <v>119</v>
      </c>
      <c r="F236" s="4" t="s">
        <v>181</v>
      </c>
      <c r="G236" s="4" t="n">
        <v>10</v>
      </c>
      <c r="H236" s="4" t="s">
        <v>168</v>
      </c>
      <c r="I236" s="8" t="n">
        <v>91</v>
      </c>
      <c r="J236" s="8" t="n">
        <v>63.2</v>
      </c>
      <c r="K236" s="9" t="n">
        <f aca="false">MIN(120,J236/I236*100)</f>
        <v>69.4505494505495</v>
      </c>
      <c r="L236" s="9" t="n">
        <f aca="false">K236*G236/100</f>
        <v>6.94505494505495</v>
      </c>
    </row>
    <row r="237" customFormat="false" ht="15" hidden="false" customHeight="false" outlineLevel="0" collapsed="false">
      <c r="A237" s="4" t="s">
        <v>126</v>
      </c>
      <c r="B237" s="4" t="s">
        <v>127</v>
      </c>
      <c r="C237" s="4" t="s">
        <v>5</v>
      </c>
      <c r="D237" s="4" t="s">
        <v>118</v>
      </c>
      <c r="E237" s="4" t="s">
        <v>119</v>
      </c>
      <c r="F237" s="4" t="s">
        <v>176</v>
      </c>
      <c r="G237" s="4" t="n">
        <v>30</v>
      </c>
      <c r="H237" s="4" t="s">
        <v>164</v>
      </c>
      <c r="I237" s="8" t="n">
        <v>4200000</v>
      </c>
      <c r="J237" s="8" t="n">
        <v>3350000</v>
      </c>
      <c r="K237" s="9" t="n">
        <f aca="false">MIN(120,J237/I237*100)</f>
        <v>79.7619047619048</v>
      </c>
      <c r="L237" s="9" t="n">
        <f aca="false">K237*G237/100</f>
        <v>23.9285714285714</v>
      </c>
    </row>
    <row r="238" customFormat="false" ht="15" hidden="false" customHeight="false" outlineLevel="0" collapsed="false">
      <c r="A238" s="4" t="s">
        <v>126</v>
      </c>
      <c r="B238" s="4" t="s">
        <v>127</v>
      </c>
      <c r="C238" s="4" t="s">
        <v>5</v>
      </c>
      <c r="D238" s="4" t="s">
        <v>118</v>
      </c>
      <c r="E238" s="4" t="s">
        <v>119</v>
      </c>
      <c r="F238" s="4" t="s">
        <v>177</v>
      </c>
      <c r="G238" s="4" t="n">
        <v>15</v>
      </c>
      <c r="H238" s="4" t="s">
        <v>170</v>
      </c>
      <c r="I238" s="8" t="n">
        <v>33</v>
      </c>
      <c r="J238" s="8" t="n">
        <v>26.8</v>
      </c>
      <c r="K238" s="9" t="n">
        <f aca="false">MIN(120,J238/I238*100)</f>
        <v>81.2121212121212</v>
      </c>
      <c r="L238" s="9" t="n">
        <f aca="false">K238*G238/100</f>
        <v>12.1818181818182</v>
      </c>
    </row>
    <row r="239" customFormat="false" ht="15" hidden="false" customHeight="false" outlineLevel="0" collapsed="false">
      <c r="A239" s="4" t="s">
        <v>126</v>
      </c>
      <c r="B239" s="4" t="s">
        <v>127</v>
      </c>
      <c r="C239" s="4" t="s">
        <v>5</v>
      </c>
      <c r="D239" s="4" t="s">
        <v>118</v>
      </c>
      <c r="E239" s="4" t="s">
        <v>119</v>
      </c>
      <c r="F239" s="4" t="s">
        <v>178</v>
      </c>
      <c r="G239" s="4" t="n">
        <v>15</v>
      </c>
      <c r="H239" s="4" t="s">
        <v>166</v>
      </c>
      <c r="I239" s="8" t="n">
        <v>220</v>
      </c>
      <c r="J239" s="8" t="n">
        <v>169</v>
      </c>
      <c r="K239" s="9" t="n">
        <f aca="false">MIN(120,J239/I239*100)</f>
        <v>76.8181818181818</v>
      </c>
      <c r="L239" s="9" t="n">
        <f aca="false">K239*G239/100</f>
        <v>11.5227272727273</v>
      </c>
    </row>
    <row r="240" customFormat="false" ht="15" hidden="false" customHeight="false" outlineLevel="0" collapsed="false">
      <c r="A240" s="4" t="s">
        <v>126</v>
      </c>
      <c r="B240" s="4" t="s">
        <v>127</v>
      </c>
      <c r="C240" s="4" t="s">
        <v>5</v>
      </c>
      <c r="D240" s="4" t="s">
        <v>118</v>
      </c>
      <c r="E240" s="4" t="s">
        <v>119</v>
      </c>
      <c r="F240" s="4" t="s">
        <v>179</v>
      </c>
      <c r="G240" s="4" t="n">
        <v>20</v>
      </c>
      <c r="H240" s="4" t="s">
        <v>168</v>
      </c>
      <c r="I240" s="8" t="n">
        <v>57</v>
      </c>
      <c r="J240" s="8" t="n">
        <v>51.8</v>
      </c>
      <c r="K240" s="9" t="n">
        <f aca="false">MIN(120,J240/I240*100)</f>
        <v>90.8771929824561</v>
      </c>
      <c r="L240" s="9" t="n">
        <f aca="false">K240*G240/100</f>
        <v>18.1754385964912</v>
      </c>
    </row>
    <row r="241" customFormat="false" ht="15" hidden="false" customHeight="false" outlineLevel="0" collapsed="false">
      <c r="A241" s="4" t="s">
        <v>126</v>
      </c>
      <c r="B241" s="4" t="s">
        <v>127</v>
      </c>
      <c r="C241" s="4" t="s">
        <v>5</v>
      </c>
      <c r="D241" s="4" t="s">
        <v>118</v>
      </c>
      <c r="E241" s="4" t="s">
        <v>119</v>
      </c>
      <c r="F241" s="4" t="s">
        <v>180</v>
      </c>
      <c r="G241" s="4" t="n">
        <v>10</v>
      </c>
      <c r="H241" s="4" t="s">
        <v>170</v>
      </c>
      <c r="I241" s="8" t="n">
        <v>26</v>
      </c>
      <c r="J241" s="8" t="n">
        <v>19.6</v>
      </c>
      <c r="K241" s="9" t="n">
        <f aca="false">MIN(120,J241/I241*100)</f>
        <v>75.3846153846154</v>
      </c>
      <c r="L241" s="9" t="n">
        <f aca="false">K241*G241/100</f>
        <v>7.53846153846154</v>
      </c>
    </row>
    <row r="242" customFormat="false" ht="15" hidden="false" customHeight="false" outlineLevel="0" collapsed="false">
      <c r="A242" s="4" t="s">
        <v>126</v>
      </c>
      <c r="B242" s="4" t="s">
        <v>127</v>
      </c>
      <c r="C242" s="4" t="s">
        <v>5</v>
      </c>
      <c r="D242" s="4" t="s">
        <v>118</v>
      </c>
      <c r="E242" s="4" t="s">
        <v>119</v>
      </c>
      <c r="F242" s="4" t="s">
        <v>181</v>
      </c>
      <c r="G242" s="4" t="n">
        <v>10</v>
      </c>
      <c r="H242" s="4" t="s">
        <v>168</v>
      </c>
      <c r="I242" s="8" t="n">
        <v>91</v>
      </c>
      <c r="J242" s="8" t="n">
        <v>81.1</v>
      </c>
      <c r="K242" s="9" t="n">
        <f aca="false">MIN(120,J242/I242*100)</f>
        <v>89.1208791208791</v>
      </c>
      <c r="L242" s="9" t="n">
        <f aca="false">K242*G242/100</f>
        <v>8.91208791208791</v>
      </c>
    </row>
    <row r="243" customFormat="false" ht="15" hidden="false" customHeight="false" outlineLevel="0" collapsed="false">
      <c r="A243" s="4" t="s">
        <v>128</v>
      </c>
      <c r="B243" s="4" t="s">
        <v>129</v>
      </c>
      <c r="C243" s="4" t="s">
        <v>7</v>
      </c>
      <c r="D243" s="4" t="s">
        <v>130</v>
      </c>
      <c r="E243" s="4" t="s">
        <v>119</v>
      </c>
      <c r="F243" s="4" t="s">
        <v>171</v>
      </c>
      <c r="G243" s="4" t="n">
        <v>35</v>
      </c>
      <c r="H243" s="4" t="s">
        <v>164</v>
      </c>
      <c r="I243" s="8" t="n">
        <v>18300000</v>
      </c>
      <c r="J243" s="8" t="n">
        <v>18480000</v>
      </c>
      <c r="K243" s="9" t="n">
        <f aca="false">MIN(120,J243/I243*100)</f>
        <v>100.983606557377</v>
      </c>
      <c r="L243" s="9" t="n">
        <f aca="false">K243*G243/100</f>
        <v>35.344262295082</v>
      </c>
    </row>
    <row r="244" customFormat="false" ht="15" hidden="false" customHeight="false" outlineLevel="0" collapsed="false">
      <c r="A244" s="4" t="s">
        <v>128</v>
      </c>
      <c r="B244" s="4" t="s">
        <v>129</v>
      </c>
      <c r="C244" s="4" t="s">
        <v>7</v>
      </c>
      <c r="D244" s="4" t="s">
        <v>130</v>
      </c>
      <c r="E244" s="4" t="s">
        <v>119</v>
      </c>
      <c r="F244" s="4" t="s">
        <v>172</v>
      </c>
      <c r="G244" s="4" t="n">
        <v>20</v>
      </c>
      <c r="H244" s="4" t="s">
        <v>168</v>
      </c>
      <c r="I244" s="8" t="n">
        <v>80</v>
      </c>
      <c r="J244" s="8" t="n">
        <v>65.5</v>
      </c>
      <c r="K244" s="9" t="n">
        <f aca="false">MIN(120,J244/I244*100)</f>
        <v>81.875</v>
      </c>
      <c r="L244" s="9" t="n">
        <f aca="false">K244*G244/100</f>
        <v>16.375</v>
      </c>
    </row>
    <row r="245" customFormat="false" ht="15" hidden="false" customHeight="false" outlineLevel="0" collapsed="false">
      <c r="A245" s="4" t="s">
        <v>128</v>
      </c>
      <c r="B245" s="4" t="s">
        <v>129</v>
      </c>
      <c r="C245" s="4" t="s">
        <v>7</v>
      </c>
      <c r="D245" s="4" t="s">
        <v>130</v>
      </c>
      <c r="E245" s="4" t="s">
        <v>119</v>
      </c>
      <c r="F245" s="4" t="s">
        <v>173</v>
      </c>
      <c r="G245" s="4" t="n">
        <v>20</v>
      </c>
      <c r="H245" s="4" t="s">
        <v>168</v>
      </c>
      <c r="I245" s="8" t="n">
        <v>57</v>
      </c>
      <c r="J245" s="8" t="n">
        <v>47.2</v>
      </c>
      <c r="K245" s="9" t="n">
        <f aca="false">MIN(120,J245/I245*100)</f>
        <v>82.8070175438597</v>
      </c>
      <c r="L245" s="9" t="n">
        <f aca="false">K245*G245/100</f>
        <v>16.5614035087719</v>
      </c>
    </row>
    <row r="246" customFormat="false" ht="15" hidden="false" customHeight="false" outlineLevel="0" collapsed="false">
      <c r="A246" s="4" t="s">
        <v>128</v>
      </c>
      <c r="B246" s="4" t="s">
        <v>129</v>
      </c>
      <c r="C246" s="4" t="s">
        <v>7</v>
      </c>
      <c r="D246" s="4" t="s">
        <v>130</v>
      </c>
      <c r="E246" s="4" t="s">
        <v>119</v>
      </c>
      <c r="F246" s="4" t="s">
        <v>174</v>
      </c>
      <c r="G246" s="4" t="n">
        <v>15</v>
      </c>
      <c r="H246" s="4" t="s">
        <v>170</v>
      </c>
      <c r="I246" s="8" t="n">
        <v>81</v>
      </c>
      <c r="J246" s="8" t="n">
        <v>66.9</v>
      </c>
      <c r="K246" s="9" t="n">
        <f aca="false">MIN(120,J246/I246*100)</f>
        <v>82.5925925925926</v>
      </c>
      <c r="L246" s="9" t="n">
        <f aca="false">K246*G246/100</f>
        <v>12.3888888888889</v>
      </c>
    </row>
    <row r="247" customFormat="false" ht="15" hidden="false" customHeight="false" outlineLevel="0" collapsed="false">
      <c r="A247" s="4" t="s">
        <v>128</v>
      </c>
      <c r="B247" s="4" t="s">
        <v>129</v>
      </c>
      <c r="C247" s="4" t="s">
        <v>7</v>
      </c>
      <c r="D247" s="4" t="s">
        <v>130</v>
      </c>
      <c r="E247" s="4" t="s">
        <v>119</v>
      </c>
      <c r="F247" s="4" t="s">
        <v>175</v>
      </c>
      <c r="G247" s="4" t="n">
        <v>10</v>
      </c>
      <c r="H247" s="4" t="s">
        <v>168</v>
      </c>
      <c r="I247" s="8" t="n">
        <v>64</v>
      </c>
      <c r="J247" s="8" t="n">
        <v>64.4</v>
      </c>
      <c r="K247" s="9" t="n">
        <f aca="false">MIN(120,J247/I247*100)</f>
        <v>100.625</v>
      </c>
      <c r="L247" s="9" t="n">
        <f aca="false">K247*G247/100</f>
        <v>10.0625</v>
      </c>
    </row>
    <row r="248" customFormat="false" ht="15" hidden="false" customHeight="false" outlineLevel="0" collapsed="false">
      <c r="A248" s="4" t="s">
        <v>131</v>
      </c>
      <c r="B248" s="4" t="s">
        <v>132</v>
      </c>
      <c r="C248" s="4" t="s">
        <v>5</v>
      </c>
      <c r="D248" s="4" t="s">
        <v>130</v>
      </c>
      <c r="E248" s="4" t="s">
        <v>119</v>
      </c>
      <c r="F248" s="4" t="s">
        <v>176</v>
      </c>
      <c r="G248" s="4" t="n">
        <v>30</v>
      </c>
      <c r="H248" s="4" t="s">
        <v>164</v>
      </c>
      <c r="I248" s="8" t="n">
        <v>4600000</v>
      </c>
      <c r="J248" s="8" t="n">
        <v>3530000</v>
      </c>
      <c r="K248" s="9" t="n">
        <f aca="false">MIN(120,J248/I248*100)</f>
        <v>76.7391304347826</v>
      </c>
      <c r="L248" s="9" t="n">
        <f aca="false">K248*G248/100</f>
        <v>23.0217391304348</v>
      </c>
    </row>
    <row r="249" customFormat="false" ht="15" hidden="false" customHeight="false" outlineLevel="0" collapsed="false">
      <c r="A249" s="4" t="s">
        <v>131</v>
      </c>
      <c r="B249" s="4" t="s">
        <v>132</v>
      </c>
      <c r="C249" s="4" t="s">
        <v>5</v>
      </c>
      <c r="D249" s="4" t="s">
        <v>130</v>
      </c>
      <c r="E249" s="4" t="s">
        <v>119</v>
      </c>
      <c r="F249" s="4" t="s">
        <v>177</v>
      </c>
      <c r="G249" s="4" t="n">
        <v>15</v>
      </c>
      <c r="H249" s="4" t="s">
        <v>170</v>
      </c>
      <c r="I249" s="8" t="n">
        <v>35</v>
      </c>
      <c r="J249" s="8" t="n">
        <v>24.1</v>
      </c>
      <c r="K249" s="9" t="n">
        <f aca="false">MIN(120,J249/I249*100)</f>
        <v>68.8571428571429</v>
      </c>
      <c r="L249" s="9" t="n">
        <f aca="false">K249*G249/100</f>
        <v>10.3285714285714</v>
      </c>
    </row>
    <row r="250" customFormat="false" ht="15" hidden="false" customHeight="false" outlineLevel="0" collapsed="false">
      <c r="A250" s="4" t="s">
        <v>131</v>
      </c>
      <c r="B250" s="4" t="s">
        <v>132</v>
      </c>
      <c r="C250" s="4" t="s">
        <v>5</v>
      </c>
      <c r="D250" s="4" t="s">
        <v>130</v>
      </c>
      <c r="E250" s="4" t="s">
        <v>119</v>
      </c>
      <c r="F250" s="4" t="s">
        <v>178</v>
      </c>
      <c r="G250" s="4" t="n">
        <v>15</v>
      </c>
      <c r="H250" s="4" t="s">
        <v>166</v>
      </c>
      <c r="I250" s="8" t="n">
        <v>240</v>
      </c>
      <c r="J250" s="8" t="n">
        <v>158</v>
      </c>
      <c r="K250" s="9" t="n">
        <f aca="false">MIN(120,J250/I250*100)</f>
        <v>65.8333333333333</v>
      </c>
      <c r="L250" s="9" t="n">
        <f aca="false">K250*G250/100</f>
        <v>9.875</v>
      </c>
    </row>
    <row r="251" customFormat="false" ht="15" hidden="false" customHeight="false" outlineLevel="0" collapsed="false">
      <c r="A251" s="4" t="s">
        <v>131</v>
      </c>
      <c r="B251" s="4" t="s">
        <v>132</v>
      </c>
      <c r="C251" s="4" t="s">
        <v>5</v>
      </c>
      <c r="D251" s="4" t="s">
        <v>130</v>
      </c>
      <c r="E251" s="4" t="s">
        <v>119</v>
      </c>
      <c r="F251" s="4" t="s">
        <v>179</v>
      </c>
      <c r="G251" s="4" t="n">
        <v>20</v>
      </c>
      <c r="H251" s="4" t="s">
        <v>168</v>
      </c>
      <c r="I251" s="8" t="n">
        <v>59</v>
      </c>
      <c r="J251" s="8" t="n">
        <v>38.5</v>
      </c>
      <c r="K251" s="9" t="n">
        <f aca="false">MIN(120,J251/I251*100)</f>
        <v>65.2542372881356</v>
      </c>
      <c r="L251" s="9" t="n">
        <f aca="false">K251*G251/100</f>
        <v>13.0508474576271</v>
      </c>
    </row>
    <row r="252" customFormat="false" ht="15" hidden="false" customHeight="false" outlineLevel="0" collapsed="false">
      <c r="A252" s="4" t="s">
        <v>131</v>
      </c>
      <c r="B252" s="4" t="s">
        <v>132</v>
      </c>
      <c r="C252" s="4" t="s">
        <v>5</v>
      </c>
      <c r="D252" s="4" t="s">
        <v>130</v>
      </c>
      <c r="E252" s="4" t="s">
        <v>119</v>
      </c>
      <c r="F252" s="4" t="s">
        <v>180</v>
      </c>
      <c r="G252" s="4" t="n">
        <v>10</v>
      </c>
      <c r="H252" s="4" t="s">
        <v>170</v>
      </c>
      <c r="I252" s="8" t="n">
        <v>28</v>
      </c>
      <c r="J252" s="8" t="n">
        <v>19.2</v>
      </c>
      <c r="K252" s="9" t="n">
        <f aca="false">MIN(120,J252/I252*100)</f>
        <v>68.5714285714286</v>
      </c>
      <c r="L252" s="9" t="n">
        <f aca="false">K252*G252/100</f>
        <v>6.85714285714286</v>
      </c>
    </row>
    <row r="253" customFormat="false" ht="15" hidden="false" customHeight="false" outlineLevel="0" collapsed="false">
      <c r="A253" s="4" t="s">
        <v>131</v>
      </c>
      <c r="B253" s="4" t="s">
        <v>132</v>
      </c>
      <c r="C253" s="4" t="s">
        <v>5</v>
      </c>
      <c r="D253" s="4" t="s">
        <v>130</v>
      </c>
      <c r="E253" s="4" t="s">
        <v>119</v>
      </c>
      <c r="F253" s="4" t="s">
        <v>181</v>
      </c>
      <c r="G253" s="4" t="n">
        <v>10</v>
      </c>
      <c r="H253" s="4" t="s">
        <v>168</v>
      </c>
      <c r="I253" s="8" t="n">
        <v>98</v>
      </c>
      <c r="J253" s="8" t="n">
        <v>76.6</v>
      </c>
      <c r="K253" s="9" t="n">
        <f aca="false">MIN(120,J253/I253*100)</f>
        <v>78.1632653061224</v>
      </c>
      <c r="L253" s="9" t="n">
        <f aca="false">K253*G253/100</f>
        <v>7.81632653061224</v>
      </c>
    </row>
    <row r="254" customFormat="false" ht="15" hidden="false" customHeight="false" outlineLevel="0" collapsed="false">
      <c r="A254" s="4" t="s">
        <v>133</v>
      </c>
      <c r="B254" s="4" t="s">
        <v>134</v>
      </c>
      <c r="C254" s="4" t="s">
        <v>5</v>
      </c>
      <c r="D254" s="4" t="s">
        <v>130</v>
      </c>
      <c r="E254" s="4" t="s">
        <v>119</v>
      </c>
      <c r="F254" s="4" t="s">
        <v>176</v>
      </c>
      <c r="G254" s="4" t="n">
        <v>30</v>
      </c>
      <c r="H254" s="4" t="s">
        <v>164</v>
      </c>
      <c r="I254" s="8" t="n">
        <v>4700000</v>
      </c>
      <c r="J254" s="8" t="n">
        <v>3900000</v>
      </c>
      <c r="K254" s="9" t="n">
        <f aca="false">MIN(120,J254/I254*100)</f>
        <v>82.9787234042553</v>
      </c>
      <c r="L254" s="9" t="n">
        <f aca="false">K254*G254/100</f>
        <v>24.8936170212766</v>
      </c>
    </row>
    <row r="255" customFormat="false" ht="15" hidden="false" customHeight="false" outlineLevel="0" collapsed="false">
      <c r="A255" s="4" t="s">
        <v>133</v>
      </c>
      <c r="B255" s="4" t="s">
        <v>134</v>
      </c>
      <c r="C255" s="4" t="s">
        <v>5</v>
      </c>
      <c r="D255" s="4" t="s">
        <v>130</v>
      </c>
      <c r="E255" s="4" t="s">
        <v>119</v>
      </c>
      <c r="F255" s="4" t="s">
        <v>177</v>
      </c>
      <c r="G255" s="4" t="n">
        <v>15</v>
      </c>
      <c r="H255" s="4" t="s">
        <v>170</v>
      </c>
      <c r="I255" s="8" t="n">
        <v>29</v>
      </c>
      <c r="J255" s="8" t="n">
        <v>21.5</v>
      </c>
      <c r="K255" s="9" t="n">
        <f aca="false">MIN(120,J255/I255*100)</f>
        <v>74.1379310344828</v>
      </c>
      <c r="L255" s="9" t="n">
        <f aca="false">K255*G255/100</f>
        <v>11.1206896551724</v>
      </c>
    </row>
    <row r="256" customFormat="false" ht="15" hidden="false" customHeight="false" outlineLevel="0" collapsed="false">
      <c r="A256" s="4" t="s">
        <v>133</v>
      </c>
      <c r="B256" s="4" t="s">
        <v>134</v>
      </c>
      <c r="C256" s="4" t="s">
        <v>5</v>
      </c>
      <c r="D256" s="4" t="s">
        <v>130</v>
      </c>
      <c r="E256" s="4" t="s">
        <v>119</v>
      </c>
      <c r="F256" s="4" t="s">
        <v>178</v>
      </c>
      <c r="G256" s="4" t="n">
        <v>15</v>
      </c>
      <c r="H256" s="4" t="s">
        <v>166</v>
      </c>
      <c r="I256" s="8" t="n">
        <v>250</v>
      </c>
      <c r="J256" s="8" t="n">
        <v>223</v>
      </c>
      <c r="K256" s="9" t="n">
        <f aca="false">MIN(120,J256/I256*100)</f>
        <v>89.2</v>
      </c>
      <c r="L256" s="9" t="n">
        <f aca="false">K256*G256/100</f>
        <v>13.38</v>
      </c>
    </row>
    <row r="257" customFormat="false" ht="15" hidden="false" customHeight="false" outlineLevel="0" collapsed="false">
      <c r="A257" s="4" t="s">
        <v>133</v>
      </c>
      <c r="B257" s="4" t="s">
        <v>134</v>
      </c>
      <c r="C257" s="4" t="s">
        <v>5</v>
      </c>
      <c r="D257" s="4" t="s">
        <v>130</v>
      </c>
      <c r="E257" s="4" t="s">
        <v>119</v>
      </c>
      <c r="F257" s="4" t="s">
        <v>179</v>
      </c>
      <c r="G257" s="4" t="n">
        <v>20</v>
      </c>
      <c r="H257" s="4" t="s">
        <v>168</v>
      </c>
      <c r="I257" s="8" t="n">
        <v>61</v>
      </c>
      <c r="J257" s="8" t="n">
        <v>42.1</v>
      </c>
      <c r="K257" s="9" t="n">
        <f aca="false">MIN(120,J257/I257*100)</f>
        <v>69.016393442623</v>
      </c>
      <c r="L257" s="9" t="n">
        <f aca="false">K257*G257/100</f>
        <v>13.8032786885246</v>
      </c>
    </row>
    <row r="258" customFormat="false" ht="15" hidden="false" customHeight="false" outlineLevel="0" collapsed="false">
      <c r="A258" s="4" t="s">
        <v>133</v>
      </c>
      <c r="B258" s="4" t="s">
        <v>134</v>
      </c>
      <c r="C258" s="4" t="s">
        <v>5</v>
      </c>
      <c r="D258" s="4" t="s">
        <v>130</v>
      </c>
      <c r="E258" s="4" t="s">
        <v>119</v>
      </c>
      <c r="F258" s="4" t="s">
        <v>180</v>
      </c>
      <c r="G258" s="4" t="n">
        <v>10</v>
      </c>
      <c r="H258" s="4" t="s">
        <v>170</v>
      </c>
      <c r="I258" s="8" t="n">
        <v>29</v>
      </c>
      <c r="J258" s="8" t="n">
        <v>25.6</v>
      </c>
      <c r="K258" s="9" t="n">
        <f aca="false">MIN(120,J258/I258*100)</f>
        <v>88.2758620689655</v>
      </c>
      <c r="L258" s="9" t="n">
        <f aca="false">K258*G258/100</f>
        <v>8.82758620689655</v>
      </c>
    </row>
    <row r="259" customFormat="false" ht="15" hidden="false" customHeight="false" outlineLevel="0" collapsed="false">
      <c r="A259" s="4" t="s">
        <v>133</v>
      </c>
      <c r="B259" s="4" t="s">
        <v>134</v>
      </c>
      <c r="C259" s="4" t="s">
        <v>5</v>
      </c>
      <c r="D259" s="4" t="s">
        <v>130</v>
      </c>
      <c r="E259" s="4" t="s">
        <v>119</v>
      </c>
      <c r="F259" s="4" t="s">
        <v>181</v>
      </c>
      <c r="G259" s="4" t="n">
        <v>10</v>
      </c>
      <c r="H259" s="4" t="s">
        <v>168</v>
      </c>
      <c r="I259" s="8" t="n">
        <v>97</v>
      </c>
      <c r="J259" s="8" t="n">
        <v>84.3</v>
      </c>
      <c r="K259" s="9" t="n">
        <f aca="false">MIN(120,J259/I259*100)</f>
        <v>86.9072164948454</v>
      </c>
      <c r="L259" s="9" t="n">
        <f aca="false">K259*G259/100</f>
        <v>8.69072164948454</v>
      </c>
    </row>
    <row r="260" customFormat="false" ht="15" hidden="false" customHeight="false" outlineLevel="0" collapsed="false">
      <c r="A260" s="4" t="s">
        <v>135</v>
      </c>
      <c r="B260" s="4" t="s">
        <v>136</v>
      </c>
      <c r="C260" s="4" t="s">
        <v>5</v>
      </c>
      <c r="D260" s="4" t="s">
        <v>130</v>
      </c>
      <c r="E260" s="4" t="s">
        <v>119</v>
      </c>
      <c r="F260" s="4" t="s">
        <v>176</v>
      </c>
      <c r="G260" s="4" t="n">
        <v>30</v>
      </c>
      <c r="H260" s="4" t="s">
        <v>164</v>
      </c>
      <c r="I260" s="8" t="n">
        <v>4200000</v>
      </c>
      <c r="J260" s="8" t="n">
        <v>2830000</v>
      </c>
      <c r="K260" s="9" t="n">
        <f aca="false">MIN(120,J260/I260*100)</f>
        <v>67.3809523809524</v>
      </c>
      <c r="L260" s="9" t="n">
        <f aca="false">K260*G260/100</f>
        <v>20.2142857142857</v>
      </c>
    </row>
    <row r="261" customFormat="false" ht="15" hidden="false" customHeight="false" outlineLevel="0" collapsed="false">
      <c r="A261" s="4" t="s">
        <v>135</v>
      </c>
      <c r="B261" s="4" t="s">
        <v>136</v>
      </c>
      <c r="C261" s="4" t="s">
        <v>5</v>
      </c>
      <c r="D261" s="4" t="s">
        <v>130</v>
      </c>
      <c r="E261" s="4" t="s">
        <v>119</v>
      </c>
      <c r="F261" s="4" t="s">
        <v>177</v>
      </c>
      <c r="G261" s="4" t="n">
        <v>15</v>
      </c>
      <c r="H261" s="4" t="s">
        <v>170</v>
      </c>
      <c r="I261" s="8" t="n">
        <v>32</v>
      </c>
      <c r="J261" s="8" t="n">
        <v>20</v>
      </c>
      <c r="K261" s="9" t="n">
        <f aca="false">MIN(120,J261/I261*100)</f>
        <v>62.5</v>
      </c>
      <c r="L261" s="9" t="n">
        <f aca="false">K261*G261/100</f>
        <v>9.375</v>
      </c>
    </row>
    <row r="262" customFormat="false" ht="15" hidden="false" customHeight="false" outlineLevel="0" collapsed="false">
      <c r="A262" s="4" t="s">
        <v>135</v>
      </c>
      <c r="B262" s="4" t="s">
        <v>136</v>
      </c>
      <c r="C262" s="4" t="s">
        <v>5</v>
      </c>
      <c r="D262" s="4" t="s">
        <v>130</v>
      </c>
      <c r="E262" s="4" t="s">
        <v>119</v>
      </c>
      <c r="F262" s="4" t="s">
        <v>178</v>
      </c>
      <c r="G262" s="4" t="n">
        <v>15</v>
      </c>
      <c r="H262" s="4" t="s">
        <v>166</v>
      </c>
      <c r="I262" s="8" t="n">
        <v>260</v>
      </c>
      <c r="J262" s="8" t="n">
        <v>171</v>
      </c>
      <c r="K262" s="9" t="n">
        <f aca="false">MIN(120,J262/I262*100)</f>
        <v>65.7692307692308</v>
      </c>
      <c r="L262" s="9" t="n">
        <f aca="false">K262*G262/100</f>
        <v>9.86538461538462</v>
      </c>
    </row>
    <row r="263" customFormat="false" ht="15" hidden="false" customHeight="false" outlineLevel="0" collapsed="false">
      <c r="A263" s="4" t="s">
        <v>135</v>
      </c>
      <c r="B263" s="4" t="s">
        <v>136</v>
      </c>
      <c r="C263" s="4" t="s">
        <v>5</v>
      </c>
      <c r="D263" s="4" t="s">
        <v>130</v>
      </c>
      <c r="E263" s="4" t="s">
        <v>119</v>
      </c>
      <c r="F263" s="4" t="s">
        <v>179</v>
      </c>
      <c r="G263" s="4" t="n">
        <v>20</v>
      </c>
      <c r="H263" s="4" t="s">
        <v>168</v>
      </c>
      <c r="I263" s="8" t="n">
        <v>64</v>
      </c>
      <c r="J263" s="8" t="n">
        <v>49</v>
      </c>
      <c r="K263" s="9" t="n">
        <f aca="false">MIN(120,J263/I263*100)</f>
        <v>76.5625</v>
      </c>
      <c r="L263" s="9" t="n">
        <f aca="false">K263*G263/100</f>
        <v>15.3125</v>
      </c>
    </row>
    <row r="264" customFormat="false" ht="15" hidden="false" customHeight="false" outlineLevel="0" collapsed="false">
      <c r="A264" s="4" t="s">
        <v>135</v>
      </c>
      <c r="B264" s="4" t="s">
        <v>136</v>
      </c>
      <c r="C264" s="4" t="s">
        <v>5</v>
      </c>
      <c r="D264" s="4" t="s">
        <v>130</v>
      </c>
      <c r="E264" s="4" t="s">
        <v>119</v>
      </c>
      <c r="F264" s="4" t="s">
        <v>180</v>
      </c>
      <c r="G264" s="4" t="n">
        <v>10</v>
      </c>
      <c r="H264" s="4" t="s">
        <v>170</v>
      </c>
      <c r="I264" s="8" t="n">
        <v>28</v>
      </c>
      <c r="J264" s="8" t="n">
        <v>18.3</v>
      </c>
      <c r="K264" s="9" t="n">
        <f aca="false">MIN(120,J264/I264*100)</f>
        <v>65.3571428571429</v>
      </c>
      <c r="L264" s="9" t="n">
        <f aca="false">K264*G264/100</f>
        <v>6.53571428571429</v>
      </c>
    </row>
    <row r="265" customFormat="false" ht="15" hidden="false" customHeight="false" outlineLevel="0" collapsed="false">
      <c r="A265" s="4" t="s">
        <v>135</v>
      </c>
      <c r="B265" s="4" t="s">
        <v>136</v>
      </c>
      <c r="C265" s="4" t="s">
        <v>5</v>
      </c>
      <c r="D265" s="4" t="s">
        <v>130</v>
      </c>
      <c r="E265" s="4" t="s">
        <v>119</v>
      </c>
      <c r="F265" s="4" t="s">
        <v>181</v>
      </c>
      <c r="G265" s="4" t="n">
        <v>10</v>
      </c>
      <c r="H265" s="4" t="s">
        <v>168</v>
      </c>
      <c r="I265" s="8" t="n">
        <v>93</v>
      </c>
      <c r="J265" s="8" t="n">
        <v>55</v>
      </c>
      <c r="K265" s="9" t="n">
        <f aca="false">MIN(120,J265/I265*100)</f>
        <v>59.1397849462366</v>
      </c>
      <c r="L265" s="9" t="n">
        <f aca="false">K265*G265/100</f>
        <v>5.91397849462366</v>
      </c>
    </row>
    <row r="266" customFormat="false" ht="15" hidden="false" customHeight="false" outlineLevel="0" collapsed="false">
      <c r="A266" s="4" t="s">
        <v>137</v>
      </c>
      <c r="B266" s="4" t="s">
        <v>138</v>
      </c>
      <c r="C266" s="4" t="s">
        <v>8</v>
      </c>
      <c r="D266" s="4" t="s">
        <v>139</v>
      </c>
      <c r="E266" s="4" t="s">
        <v>32</v>
      </c>
      <c r="F266" s="4" t="s">
        <v>171</v>
      </c>
      <c r="G266" s="4" t="n">
        <v>35</v>
      </c>
      <c r="H266" s="4" t="s">
        <v>164</v>
      </c>
      <c r="I266" s="8" t="n">
        <v>16800000</v>
      </c>
      <c r="J266" s="8" t="n">
        <v>14720000</v>
      </c>
      <c r="K266" s="9" t="n">
        <f aca="false">MIN(120,J266/I266*100)</f>
        <v>87.6190476190476</v>
      </c>
      <c r="L266" s="9" t="n">
        <f aca="false">K266*G266/100</f>
        <v>30.6666666666667</v>
      </c>
    </row>
    <row r="267" customFormat="false" ht="15" hidden="false" customHeight="false" outlineLevel="0" collapsed="false">
      <c r="A267" s="4" t="s">
        <v>137</v>
      </c>
      <c r="B267" s="4" t="s">
        <v>138</v>
      </c>
      <c r="C267" s="4" t="s">
        <v>8</v>
      </c>
      <c r="D267" s="4" t="s">
        <v>139</v>
      </c>
      <c r="E267" s="4" t="s">
        <v>32</v>
      </c>
      <c r="F267" s="4" t="s">
        <v>172</v>
      </c>
      <c r="G267" s="4" t="n">
        <v>20</v>
      </c>
      <c r="H267" s="4" t="s">
        <v>168</v>
      </c>
      <c r="I267" s="8" t="n">
        <v>85</v>
      </c>
      <c r="J267" s="8" t="n">
        <v>80.2</v>
      </c>
      <c r="K267" s="9" t="n">
        <f aca="false">MIN(120,J267/I267*100)</f>
        <v>94.3529411764706</v>
      </c>
      <c r="L267" s="9" t="n">
        <f aca="false">K267*G267/100</f>
        <v>18.8705882352941</v>
      </c>
    </row>
    <row r="268" customFormat="false" ht="15" hidden="false" customHeight="false" outlineLevel="0" collapsed="false">
      <c r="A268" s="4" t="s">
        <v>137</v>
      </c>
      <c r="B268" s="4" t="s">
        <v>138</v>
      </c>
      <c r="C268" s="4" t="s">
        <v>8</v>
      </c>
      <c r="D268" s="4" t="s">
        <v>139</v>
      </c>
      <c r="E268" s="4" t="s">
        <v>32</v>
      </c>
      <c r="F268" s="4" t="s">
        <v>173</v>
      </c>
      <c r="G268" s="4" t="n">
        <v>20</v>
      </c>
      <c r="H268" s="4" t="s">
        <v>168</v>
      </c>
      <c r="I268" s="8" t="n">
        <v>59</v>
      </c>
      <c r="J268" s="8" t="n">
        <v>57.2</v>
      </c>
      <c r="K268" s="9" t="n">
        <f aca="false">MIN(120,J268/I268*100)</f>
        <v>96.9491525423729</v>
      </c>
      <c r="L268" s="9" t="n">
        <f aca="false">K268*G268/100</f>
        <v>19.3898305084746</v>
      </c>
    </row>
    <row r="269" customFormat="false" ht="15" hidden="false" customHeight="false" outlineLevel="0" collapsed="false">
      <c r="A269" s="4" t="s">
        <v>137</v>
      </c>
      <c r="B269" s="4" t="s">
        <v>138</v>
      </c>
      <c r="C269" s="4" t="s">
        <v>8</v>
      </c>
      <c r="D269" s="4" t="s">
        <v>139</v>
      </c>
      <c r="E269" s="4" t="s">
        <v>32</v>
      </c>
      <c r="F269" s="4" t="s">
        <v>174</v>
      </c>
      <c r="G269" s="4" t="n">
        <v>15</v>
      </c>
      <c r="H269" s="4" t="s">
        <v>170</v>
      </c>
      <c r="I269" s="8" t="n">
        <v>77</v>
      </c>
      <c r="J269" s="8" t="n">
        <v>60.7</v>
      </c>
      <c r="K269" s="9" t="n">
        <f aca="false">MIN(120,J269/I269*100)</f>
        <v>78.8311688311688</v>
      </c>
      <c r="L269" s="9" t="n">
        <f aca="false">K269*G269/100</f>
        <v>11.8246753246753</v>
      </c>
    </row>
    <row r="270" customFormat="false" ht="15" hidden="false" customHeight="false" outlineLevel="0" collapsed="false">
      <c r="A270" s="4" t="s">
        <v>137</v>
      </c>
      <c r="B270" s="4" t="s">
        <v>138</v>
      </c>
      <c r="C270" s="4" t="s">
        <v>8</v>
      </c>
      <c r="D270" s="4" t="s">
        <v>139</v>
      </c>
      <c r="E270" s="4" t="s">
        <v>32</v>
      </c>
      <c r="F270" s="4" t="s">
        <v>175</v>
      </c>
      <c r="G270" s="4" t="n">
        <v>10</v>
      </c>
      <c r="H270" s="4" t="s">
        <v>168</v>
      </c>
      <c r="I270" s="8" t="n">
        <v>67</v>
      </c>
      <c r="J270" s="8" t="n">
        <v>53.4</v>
      </c>
      <c r="K270" s="9" t="n">
        <f aca="false">MIN(120,J270/I270*100)</f>
        <v>79.7014925373134</v>
      </c>
      <c r="L270" s="9" t="n">
        <f aca="false">K270*G270/100</f>
        <v>7.97014925373134</v>
      </c>
    </row>
    <row r="271" customFormat="false" ht="15" hidden="false" customHeight="false" outlineLevel="0" collapsed="false">
      <c r="A271" s="4" t="s">
        <v>140</v>
      </c>
      <c r="B271" s="4" t="s">
        <v>141</v>
      </c>
      <c r="C271" s="4" t="s">
        <v>6</v>
      </c>
      <c r="D271" s="4" t="s">
        <v>139</v>
      </c>
      <c r="E271" s="4" t="s">
        <v>32</v>
      </c>
      <c r="F271" s="4" t="s">
        <v>182</v>
      </c>
      <c r="G271" s="4" t="n">
        <v>30</v>
      </c>
      <c r="H271" s="4" t="s">
        <v>170</v>
      </c>
      <c r="I271" s="8" t="n">
        <v>19</v>
      </c>
      <c r="J271" s="8" t="n">
        <v>18.4</v>
      </c>
      <c r="K271" s="9" t="n">
        <f aca="false">MIN(120,J271/I271*100)</f>
        <v>96.8421052631579</v>
      </c>
      <c r="L271" s="9" t="n">
        <f aca="false">K271*G271/100</f>
        <v>29.0526315789474</v>
      </c>
    </row>
    <row r="272" customFormat="false" ht="15" hidden="false" customHeight="false" outlineLevel="0" collapsed="false">
      <c r="A272" s="4" t="s">
        <v>140</v>
      </c>
      <c r="B272" s="4" t="s">
        <v>141</v>
      </c>
      <c r="C272" s="4" t="s">
        <v>6</v>
      </c>
      <c r="D272" s="4" t="s">
        <v>139</v>
      </c>
      <c r="E272" s="4" t="s">
        <v>32</v>
      </c>
      <c r="F272" s="4" t="s">
        <v>183</v>
      </c>
      <c r="G272" s="4" t="n">
        <v>20</v>
      </c>
      <c r="H272" s="4" t="s">
        <v>170</v>
      </c>
      <c r="I272" s="8" t="n">
        <v>83</v>
      </c>
      <c r="J272" s="8" t="n">
        <v>61.7</v>
      </c>
      <c r="K272" s="9" t="n">
        <f aca="false">MIN(120,J272/I272*100)</f>
        <v>74.3373493975904</v>
      </c>
      <c r="L272" s="9" t="n">
        <f aca="false">K272*G272/100</f>
        <v>14.8674698795181</v>
      </c>
    </row>
    <row r="273" customFormat="false" ht="15" hidden="false" customHeight="false" outlineLevel="0" collapsed="false">
      <c r="A273" s="4" t="s">
        <v>140</v>
      </c>
      <c r="B273" s="4" t="s">
        <v>141</v>
      </c>
      <c r="C273" s="4" t="s">
        <v>6</v>
      </c>
      <c r="D273" s="4" t="s">
        <v>139</v>
      </c>
      <c r="E273" s="4" t="s">
        <v>32</v>
      </c>
      <c r="F273" s="4" t="s">
        <v>184</v>
      </c>
      <c r="G273" s="4" t="n">
        <v>15</v>
      </c>
      <c r="H273" s="4" t="s">
        <v>168</v>
      </c>
      <c r="I273" s="8" t="n">
        <v>97</v>
      </c>
      <c r="J273" s="8" t="n">
        <v>83.8</v>
      </c>
      <c r="K273" s="9" t="n">
        <f aca="false">MIN(120,J273/I273*100)</f>
        <v>86.3917525773196</v>
      </c>
      <c r="L273" s="9" t="n">
        <f aca="false">K273*G273/100</f>
        <v>12.9587628865979</v>
      </c>
    </row>
    <row r="274" customFormat="false" ht="15" hidden="false" customHeight="false" outlineLevel="0" collapsed="false">
      <c r="A274" s="4" t="s">
        <v>140</v>
      </c>
      <c r="B274" s="4" t="s">
        <v>141</v>
      </c>
      <c r="C274" s="4" t="s">
        <v>6</v>
      </c>
      <c r="D274" s="4" t="s">
        <v>139</v>
      </c>
      <c r="E274" s="4" t="s">
        <v>32</v>
      </c>
      <c r="F274" s="4" t="s">
        <v>179</v>
      </c>
      <c r="G274" s="4" t="n">
        <v>20</v>
      </c>
      <c r="H274" s="4" t="s">
        <v>168</v>
      </c>
      <c r="I274" s="8" t="n">
        <v>50</v>
      </c>
      <c r="J274" s="8" t="n">
        <v>44</v>
      </c>
      <c r="K274" s="9" t="n">
        <f aca="false">MIN(120,J274/I274*100)</f>
        <v>88</v>
      </c>
      <c r="L274" s="9" t="n">
        <f aca="false">K274*G274/100</f>
        <v>17.6</v>
      </c>
    </row>
    <row r="275" customFormat="false" ht="15" hidden="false" customHeight="false" outlineLevel="0" collapsed="false">
      <c r="A275" s="4" t="s">
        <v>140</v>
      </c>
      <c r="B275" s="4" t="s">
        <v>141</v>
      </c>
      <c r="C275" s="4" t="s">
        <v>6</v>
      </c>
      <c r="D275" s="4" t="s">
        <v>139</v>
      </c>
      <c r="E275" s="4" t="s">
        <v>32</v>
      </c>
      <c r="F275" s="4" t="s">
        <v>178</v>
      </c>
      <c r="G275" s="4" t="n">
        <v>15</v>
      </c>
      <c r="H275" s="4" t="s">
        <v>166</v>
      </c>
      <c r="I275" s="8" t="n">
        <v>150</v>
      </c>
      <c r="J275" s="8" t="n">
        <v>131</v>
      </c>
      <c r="K275" s="9" t="n">
        <f aca="false">MIN(120,J275/I275*100)</f>
        <v>87.3333333333333</v>
      </c>
      <c r="L275" s="9" t="n">
        <f aca="false">K275*G275/100</f>
        <v>13.1</v>
      </c>
    </row>
    <row r="276" customFormat="false" ht="15" hidden="false" customHeight="false" outlineLevel="0" collapsed="false">
      <c r="A276" s="4" t="s">
        <v>142</v>
      </c>
      <c r="B276" s="4" t="s">
        <v>143</v>
      </c>
      <c r="C276" s="4" t="s">
        <v>6</v>
      </c>
      <c r="D276" s="4" t="s">
        <v>139</v>
      </c>
      <c r="E276" s="4" t="s">
        <v>32</v>
      </c>
      <c r="F276" s="4" t="s">
        <v>182</v>
      </c>
      <c r="G276" s="4" t="n">
        <v>30</v>
      </c>
      <c r="H276" s="4" t="s">
        <v>170</v>
      </c>
      <c r="I276" s="8" t="n">
        <v>18</v>
      </c>
      <c r="J276" s="8" t="n">
        <v>11.6</v>
      </c>
      <c r="K276" s="9" t="n">
        <f aca="false">MIN(120,J276/I276*100)</f>
        <v>64.4444444444444</v>
      </c>
      <c r="L276" s="9" t="n">
        <f aca="false">K276*G276/100</f>
        <v>19.3333333333333</v>
      </c>
    </row>
    <row r="277" customFormat="false" ht="15" hidden="false" customHeight="false" outlineLevel="0" collapsed="false">
      <c r="A277" s="4" t="s">
        <v>142</v>
      </c>
      <c r="B277" s="4" t="s">
        <v>143</v>
      </c>
      <c r="C277" s="4" t="s">
        <v>6</v>
      </c>
      <c r="D277" s="4" t="s">
        <v>139</v>
      </c>
      <c r="E277" s="4" t="s">
        <v>32</v>
      </c>
      <c r="F277" s="4" t="s">
        <v>183</v>
      </c>
      <c r="G277" s="4" t="n">
        <v>20</v>
      </c>
      <c r="H277" s="4" t="s">
        <v>170</v>
      </c>
      <c r="I277" s="8" t="n">
        <v>74</v>
      </c>
      <c r="J277" s="8" t="n">
        <v>49.1</v>
      </c>
      <c r="K277" s="9" t="n">
        <f aca="false">MIN(120,J277/I277*100)</f>
        <v>66.3513513513514</v>
      </c>
      <c r="L277" s="9" t="n">
        <f aca="false">K277*G277/100</f>
        <v>13.2702702702703</v>
      </c>
    </row>
    <row r="278" customFormat="false" ht="15" hidden="false" customHeight="false" outlineLevel="0" collapsed="false">
      <c r="A278" s="4" t="s">
        <v>142</v>
      </c>
      <c r="B278" s="4" t="s">
        <v>143</v>
      </c>
      <c r="C278" s="4" t="s">
        <v>6</v>
      </c>
      <c r="D278" s="4" t="s">
        <v>139</v>
      </c>
      <c r="E278" s="4" t="s">
        <v>32</v>
      </c>
      <c r="F278" s="4" t="s">
        <v>184</v>
      </c>
      <c r="G278" s="4" t="n">
        <v>15</v>
      </c>
      <c r="H278" s="4" t="s">
        <v>168</v>
      </c>
      <c r="I278" s="8" t="n">
        <v>86</v>
      </c>
      <c r="J278" s="8" t="n">
        <v>71.5</v>
      </c>
      <c r="K278" s="9" t="n">
        <f aca="false">MIN(120,J278/I278*100)</f>
        <v>83.1395348837209</v>
      </c>
      <c r="L278" s="9" t="n">
        <f aca="false">K278*G278/100</f>
        <v>12.4709302325581</v>
      </c>
    </row>
    <row r="279" customFormat="false" ht="15" hidden="false" customHeight="false" outlineLevel="0" collapsed="false">
      <c r="A279" s="4" t="s">
        <v>142</v>
      </c>
      <c r="B279" s="4" t="s">
        <v>143</v>
      </c>
      <c r="C279" s="4" t="s">
        <v>6</v>
      </c>
      <c r="D279" s="4" t="s">
        <v>139</v>
      </c>
      <c r="E279" s="4" t="s">
        <v>32</v>
      </c>
      <c r="F279" s="4" t="s">
        <v>179</v>
      </c>
      <c r="G279" s="4" t="n">
        <v>20</v>
      </c>
      <c r="H279" s="4" t="s">
        <v>168</v>
      </c>
      <c r="I279" s="8" t="n">
        <v>55</v>
      </c>
      <c r="J279" s="8" t="n">
        <v>35.2</v>
      </c>
      <c r="K279" s="9" t="n">
        <f aca="false">MIN(120,J279/I279*100)</f>
        <v>64</v>
      </c>
      <c r="L279" s="9" t="n">
        <f aca="false">K279*G279/100</f>
        <v>12.8</v>
      </c>
    </row>
    <row r="280" customFormat="false" ht="15" hidden="false" customHeight="false" outlineLevel="0" collapsed="false">
      <c r="A280" s="4" t="s">
        <v>142</v>
      </c>
      <c r="B280" s="4" t="s">
        <v>143</v>
      </c>
      <c r="C280" s="4" t="s">
        <v>6</v>
      </c>
      <c r="D280" s="4" t="s">
        <v>139</v>
      </c>
      <c r="E280" s="4" t="s">
        <v>32</v>
      </c>
      <c r="F280" s="4" t="s">
        <v>178</v>
      </c>
      <c r="G280" s="4" t="n">
        <v>15</v>
      </c>
      <c r="H280" s="4" t="s">
        <v>166</v>
      </c>
      <c r="I280" s="8" t="n">
        <v>150</v>
      </c>
      <c r="J280" s="8" t="n">
        <v>122</v>
      </c>
      <c r="K280" s="9" t="n">
        <f aca="false">MIN(120,J280/I280*100)</f>
        <v>81.3333333333333</v>
      </c>
      <c r="L280" s="9" t="n">
        <f aca="false">K280*G280/100</f>
        <v>12.2</v>
      </c>
    </row>
    <row r="281" customFormat="false" ht="15" hidden="false" customHeight="false" outlineLevel="0" collapsed="false">
      <c r="A281" s="4" t="s">
        <v>144</v>
      </c>
      <c r="B281" s="4" t="s">
        <v>145</v>
      </c>
      <c r="C281" s="4" t="s">
        <v>6</v>
      </c>
      <c r="D281" s="4" t="s">
        <v>139</v>
      </c>
      <c r="E281" s="4" t="s">
        <v>32</v>
      </c>
      <c r="F281" s="4" t="s">
        <v>182</v>
      </c>
      <c r="G281" s="4" t="n">
        <v>30</v>
      </c>
      <c r="H281" s="4" t="s">
        <v>170</v>
      </c>
      <c r="I281" s="8" t="n">
        <v>19</v>
      </c>
      <c r="J281" s="8" t="n">
        <v>16.5</v>
      </c>
      <c r="K281" s="9" t="n">
        <f aca="false">MIN(120,J281/I281*100)</f>
        <v>86.8421052631579</v>
      </c>
      <c r="L281" s="9" t="n">
        <f aca="false">K281*G281/100</f>
        <v>26.0526315789474</v>
      </c>
    </row>
    <row r="282" customFormat="false" ht="15" hidden="false" customHeight="false" outlineLevel="0" collapsed="false">
      <c r="A282" s="4" t="s">
        <v>144</v>
      </c>
      <c r="B282" s="4" t="s">
        <v>145</v>
      </c>
      <c r="C282" s="4" t="s">
        <v>6</v>
      </c>
      <c r="D282" s="4" t="s">
        <v>139</v>
      </c>
      <c r="E282" s="4" t="s">
        <v>32</v>
      </c>
      <c r="F282" s="4" t="s">
        <v>183</v>
      </c>
      <c r="G282" s="4" t="n">
        <v>20</v>
      </c>
      <c r="H282" s="4" t="s">
        <v>170</v>
      </c>
      <c r="I282" s="8" t="n">
        <v>70</v>
      </c>
      <c r="J282" s="8" t="n">
        <v>62.8</v>
      </c>
      <c r="K282" s="9" t="n">
        <f aca="false">MIN(120,J282/I282*100)</f>
        <v>89.7142857142857</v>
      </c>
      <c r="L282" s="9" t="n">
        <f aca="false">K282*G282/100</f>
        <v>17.9428571428571</v>
      </c>
    </row>
    <row r="283" customFormat="false" ht="15" hidden="false" customHeight="false" outlineLevel="0" collapsed="false">
      <c r="A283" s="4" t="s">
        <v>144</v>
      </c>
      <c r="B283" s="4" t="s">
        <v>145</v>
      </c>
      <c r="C283" s="4" t="s">
        <v>6</v>
      </c>
      <c r="D283" s="4" t="s">
        <v>139</v>
      </c>
      <c r="E283" s="4" t="s">
        <v>32</v>
      </c>
      <c r="F283" s="4" t="s">
        <v>184</v>
      </c>
      <c r="G283" s="4" t="n">
        <v>15</v>
      </c>
      <c r="H283" s="4" t="s">
        <v>168</v>
      </c>
      <c r="I283" s="8" t="n">
        <v>85</v>
      </c>
      <c r="J283" s="8" t="n">
        <v>86.5</v>
      </c>
      <c r="K283" s="9" t="n">
        <f aca="false">MIN(120,J283/I283*100)</f>
        <v>101.764705882353</v>
      </c>
      <c r="L283" s="9" t="n">
        <f aca="false">K283*G283/100</f>
        <v>15.2647058823529</v>
      </c>
    </row>
    <row r="284" customFormat="false" ht="15" hidden="false" customHeight="false" outlineLevel="0" collapsed="false">
      <c r="A284" s="4" t="s">
        <v>144</v>
      </c>
      <c r="B284" s="4" t="s">
        <v>145</v>
      </c>
      <c r="C284" s="4" t="s">
        <v>6</v>
      </c>
      <c r="D284" s="4" t="s">
        <v>139</v>
      </c>
      <c r="E284" s="4" t="s">
        <v>32</v>
      </c>
      <c r="F284" s="4" t="s">
        <v>179</v>
      </c>
      <c r="G284" s="4" t="n">
        <v>20</v>
      </c>
      <c r="H284" s="4" t="s">
        <v>168</v>
      </c>
      <c r="I284" s="8" t="n">
        <v>51</v>
      </c>
      <c r="J284" s="8" t="n">
        <v>53.4</v>
      </c>
      <c r="K284" s="9" t="n">
        <f aca="false">MIN(120,J284/I284*100)</f>
        <v>104.705882352941</v>
      </c>
      <c r="L284" s="9" t="n">
        <f aca="false">K284*G284/100</f>
        <v>20.9411764705882</v>
      </c>
    </row>
    <row r="285" customFormat="false" ht="15" hidden="false" customHeight="false" outlineLevel="0" collapsed="false">
      <c r="A285" s="4" t="s">
        <v>144</v>
      </c>
      <c r="B285" s="4" t="s">
        <v>145</v>
      </c>
      <c r="C285" s="4" t="s">
        <v>6</v>
      </c>
      <c r="D285" s="4" t="s">
        <v>139</v>
      </c>
      <c r="E285" s="4" t="s">
        <v>32</v>
      </c>
      <c r="F285" s="4" t="s">
        <v>178</v>
      </c>
      <c r="G285" s="4" t="n">
        <v>15</v>
      </c>
      <c r="H285" s="4" t="s">
        <v>166</v>
      </c>
      <c r="I285" s="8" t="n">
        <v>150</v>
      </c>
      <c r="J285" s="8" t="n">
        <v>124</v>
      </c>
      <c r="K285" s="9" t="n">
        <f aca="false">MIN(120,J285/I285*100)</f>
        <v>82.6666666666667</v>
      </c>
      <c r="L285" s="9" t="n">
        <f aca="false">K285*G285/100</f>
        <v>12.4</v>
      </c>
    </row>
    <row r="286" customFormat="false" ht="15" hidden="false" customHeight="false" outlineLevel="0" collapsed="false">
      <c r="A286" s="4" t="s">
        <v>146</v>
      </c>
      <c r="B286" s="4" t="s">
        <v>147</v>
      </c>
      <c r="C286" s="4" t="s">
        <v>6</v>
      </c>
      <c r="D286" s="4" t="s">
        <v>139</v>
      </c>
      <c r="E286" s="4" t="s">
        <v>32</v>
      </c>
      <c r="F286" s="4" t="s">
        <v>182</v>
      </c>
      <c r="G286" s="4" t="n">
        <v>30</v>
      </c>
      <c r="H286" s="4" t="s">
        <v>170</v>
      </c>
      <c r="I286" s="8" t="n">
        <v>20</v>
      </c>
      <c r="J286" s="8" t="n">
        <v>10.7</v>
      </c>
      <c r="K286" s="9" t="n">
        <f aca="false">MIN(120,J286/I286*100)</f>
        <v>53.5</v>
      </c>
      <c r="L286" s="9" t="n">
        <f aca="false">K286*G286/100</f>
        <v>16.05</v>
      </c>
    </row>
    <row r="287" customFormat="false" ht="15" hidden="false" customHeight="false" outlineLevel="0" collapsed="false">
      <c r="A287" s="4" t="s">
        <v>146</v>
      </c>
      <c r="B287" s="4" t="s">
        <v>147</v>
      </c>
      <c r="C287" s="4" t="s">
        <v>6</v>
      </c>
      <c r="D287" s="4" t="s">
        <v>139</v>
      </c>
      <c r="E287" s="4" t="s">
        <v>32</v>
      </c>
      <c r="F287" s="4" t="s">
        <v>183</v>
      </c>
      <c r="G287" s="4" t="n">
        <v>20</v>
      </c>
      <c r="H287" s="4" t="s">
        <v>170</v>
      </c>
      <c r="I287" s="8" t="n">
        <v>81</v>
      </c>
      <c r="J287" s="8" t="n">
        <v>45.2</v>
      </c>
      <c r="K287" s="9" t="n">
        <f aca="false">MIN(120,J287/I287*100)</f>
        <v>55.8024691358025</v>
      </c>
      <c r="L287" s="9" t="n">
        <f aca="false">K287*G287/100</f>
        <v>11.1604938271605</v>
      </c>
    </row>
    <row r="288" customFormat="false" ht="15" hidden="false" customHeight="false" outlineLevel="0" collapsed="false">
      <c r="A288" s="4" t="s">
        <v>146</v>
      </c>
      <c r="B288" s="4" t="s">
        <v>147</v>
      </c>
      <c r="C288" s="4" t="s">
        <v>6</v>
      </c>
      <c r="D288" s="4" t="s">
        <v>139</v>
      </c>
      <c r="E288" s="4" t="s">
        <v>32</v>
      </c>
      <c r="F288" s="4" t="s">
        <v>184</v>
      </c>
      <c r="G288" s="4" t="n">
        <v>15</v>
      </c>
      <c r="H288" s="4" t="s">
        <v>168</v>
      </c>
      <c r="I288" s="8" t="n">
        <v>90</v>
      </c>
      <c r="J288" s="8" t="n">
        <v>51.1</v>
      </c>
      <c r="K288" s="9" t="n">
        <f aca="false">MIN(120,J288/I288*100)</f>
        <v>56.7777777777778</v>
      </c>
      <c r="L288" s="9" t="n">
        <f aca="false">K288*G288/100</f>
        <v>8.51666666666667</v>
      </c>
    </row>
    <row r="289" customFormat="false" ht="15" hidden="false" customHeight="false" outlineLevel="0" collapsed="false">
      <c r="A289" s="4" t="s">
        <v>146</v>
      </c>
      <c r="B289" s="4" t="s">
        <v>147</v>
      </c>
      <c r="C289" s="4" t="s">
        <v>6</v>
      </c>
      <c r="D289" s="4" t="s">
        <v>139</v>
      </c>
      <c r="E289" s="4" t="s">
        <v>32</v>
      </c>
      <c r="F289" s="4" t="s">
        <v>179</v>
      </c>
      <c r="G289" s="4" t="n">
        <v>20</v>
      </c>
      <c r="H289" s="4" t="s">
        <v>168</v>
      </c>
      <c r="I289" s="8" t="n">
        <v>55</v>
      </c>
      <c r="J289" s="8" t="n">
        <v>28.1</v>
      </c>
      <c r="K289" s="9" t="n">
        <f aca="false">MIN(120,J289/I289*100)</f>
        <v>51.0909090909091</v>
      </c>
      <c r="L289" s="9" t="n">
        <f aca="false">K289*G289/100</f>
        <v>10.2181818181818</v>
      </c>
    </row>
    <row r="290" customFormat="false" ht="15" hidden="false" customHeight="false" outlineLevel="0" collapsed="false">
      <c r="A290" s="4" t="s">
        <v>146</v>
      </c>
      <c r="B290" s="4" t="s">
        <v>147</v>
      </c>
      <c r="C290" s="4" t="s">
        <v>6</v>
      </c>
      <c r="D290" s="4" t="s">
        <v>139</v>
      </c>
      <c r="E290" s="4" t="s">
        <v>32</v>
      </c>
      <c r="F290" s="4" t="s">
        <v>178</v>
      </c>
      <c r="G290" s="4" t="n">
        <v>15</v>
      </c>
      <c r="H290" s="4" t="s">
        <v>166</v>
      </c>
      <c r="I290" s="8" t="n">
        <v>140</v>
      </c>
      <c r="J290" s="8" t="n">
        <v>83</v>
      </c>
      <c r="K290" s="9" t="n">
        <f aca="false">MIN(120,J290/I290*100)</f>
        <v>59.2857142857143</v>
      </c>
      <c r="L290" s="9" t="n">
        <f aca="false">K290*G290/100</f>
        <v>8.89285714285714</v>
      </c>
    </row>
    <row r="291" customFormat="false" ht="15" hidden="false" customHeight="false" outlineLevel="0" collapsed="false">
      <c r="A291" s="4" t="s">
        <v>148</v>
      </c>
      <c r="B291" s="4" t="s">
        <v>149</v>
      </c>
      <c r="C291" s="4" t="s">
        <v>6</v>
      </c>
      <c r="D291" s="4" t="s">
        <v>139</v>
      </c>
      <c r="E291" s="4" t="s">
        <v>32</v>
      </c>
      <c r="F291" s="4" t="s">
        <v>182</v>
      </c>
      <c r="G291" s="4" t="n">
        <v>30</v>
      </c>
      <c r="H291" s="4" t="s">
        <v>170</v>
      </c>
      <c r="I291" s="8" t="n">
        <v>19</v>
      </c>
      <c r="J291" s="8" t="n">
        <v>15.5</v>
      </c>
      <c r="K291" s="9" t="n">
        <f aca="false">MIN(120,J291/I291*100)</f>
        <v>81.5789473684211</v>
      </c>
      <c r="L291" s="9" t="n">
        <f aca="false">K291*G291/100</f>
        <v>24.4736842105263</v>
      </c>
    </row>
    <row r="292" customFormat="false" ht="15" hidden="false" customHeight="false" outlineLevel="0" collapsed="false">
      <c r="A292" s="4" t="s">
        <v>148</v>
      </c>
      <c r="B292" s="4" t="s">
        <v>149</v>
      </c>
      <c r="C292" s="4" t="s">
        <v>6</v>
      </c>
      <c r="D292" s="4" t="s">
        <v>139</v>
      </c>
      <c r="E292" s="4" t="s">
        <v>32</v>
      </c>
      <c r="F292" s="4" t="s">
        <v>183</v>
      </c>
      <c r="G292" s="4" t="n">
        <v>20</v>
      </c>
      <c r="H292" s="4" t="s">
        <v>170</v>
      </c>
      <c r="I292" s="8" t="n">
        <v>71</v>
      </c>
      <c r="J292" s="8" t="n">
        <v>70.4</v>
      </c>
      <c r="K292" s="9" t="n">
        <f aca="false">MIN(120,J292/I292*100)</f>
        <v>99.1549295774648</v>
      </c>
      <c r="L292" s="9" t="n">
        <f aca="false">K292*G292/100</f>
        <v>19.830985915493</v>
      </c>
    </row>
    <row r="293" customFormat="false" ht="15" hidden="false" customHeight="false" outlineLevel="0" collapsed="false">
      <c r="A293" s="4" t="s">
        <v>148</v>
      </c>
      <c r="B293" s="4" t="s">
        <v>149</v>
      </c>
      <c r="C293" s="4" t="s">
        <v>6</v>
      </c>
      <c r="D293" s="4" t="s">
        <v>139</v>
      </c>
      <c r="E293" s="4" t="s">
        <v>32</v>
      </c>
      <c r="F293" s="4" t="s">
        <v>184</v>
      </c>
      <c r="G293" s="4" t="n">
        <v>15</v>
      </c>
      <c r="H293" s="4" t="s">
        <v>168</v>
      </c>
      <c r="I293" s="8" t="n">
        <v>96</v>
      </c>
      <c r="J293" s="8" t="n">
        <v>83.7</v>
      </c>
      <c r="K293" s="9" t="n">
        <f aca="false">MIN(120,J293/I293*100)</f>
        <v>87.1875</v>
      </c>
      <c r="L293" s="9" t="n">
        <f aca="false">K293*G293/100</f>
        <v>13.078125</v>
      </c>
    </row>
    <row r="294" customFormat="false" ht="15" hidden="false" customHeight="false" outlineLevel="0" collapsed="false">
      <c r="A294" s="4" t="s">
        <v>148</v>
      </c>
      <c r="B294" s="4" t="s">
        <v>149</v>
      </c>
      <c r="C294" s="4" t="s">
        <v>6</v>
      </c>
      <c r="D294" s="4" t="s">
        <v>139</v>
      </c>
      <c r="E294" s="4" t="s">
        <v>32</v>
      </c>
      <c r="F294" s="4" t="s">
        <v>179</v>
      </c>
      <c r="G294" s="4" t="n">
        <v>20</v>
      </c>
      <c r="H294" s="4" t="s">
        <v>168</v>
      </c>
      <c r="I294" s="8" t="n">
        <v>58</v>
      </c>
      <c r="J294" s="8" t="n">
        <v>49.4</v>
      </c>
      <c r="K294" s="9" t="n">
        <f aca="false">MIN(120,J294/I294*100)</f>
        <v>85.1724137931034</v>
      </c>
      <c r="L294" s="9" t="n">
        <f aca="false">K294*G294/100</f>
        <v>17.0344827586207</v>
      </c>
    </row>
    <row r="295" customFormat="false" ht="15" hidden="false" customHeight="false" outlineLevel="0" collapsed="false">
      <c r="A295" s="4" t="s">
        <v>148</v>
      </c>
      <c r="B295" s="4" t="s">
        <v>149</v>
      </c>
      <c r="C295" s="4" t="s">
        <v>6</v>
      </c>
      <c r="D295" s="4" t="s">
        <v>139</v>
      </c>
      <c r="E295" s="4" t="s">
        <v>32</v>
      </c>
      <c r="F295" s="4" t="s">
        <v>178</v>
      </c>
      <c r="G295" s="4" t="n">
        <v>15</v>
      </c>
      <c r="H295" s="4" t="s">
        <v>166</v>
      </c>
      <c r="I295" s="8" t="n">
        <v>140</v>
      </c>
      <c r="J295" s="8" t="n">
        <v>137</v>
      </c>
      <c r="K295" s="9" t="n">
        <f aca="false">MIN(120,J295/I295*100)</f>
        <v>97.8571428571429</v>
      </c>
      <c r="L295" s="9" t="n">
        <f aca="false">K295*G295/100</f>
        <v>14.6785714285714</v>
      </c>
    </row>
    <row r="296" customFormat="false" ht="15" hidden="false" customHeight="false" outlineLevel="0" collapsed="false">
      <c r="A296" s="4" t="s">
        <v>150</v>
      </c>
      <c r="B296" s="4" t="s">
        <v>151</v>
      </c>
      <c r="C296" s="4" t="s">
        <v>6</v>
      </c>
      <c r="D296" s="4" t="s">
        <v>139</v>
      </c>
      <c r="E296" s="4" t="s">
        <v>32</v>
      </c>
      <c r="F296" s="4" t="s">
        <v>182</v>
      </c>
      <c r="G296" s="4" t="n">
        <v>30</v>
      </c>
      <c r="H296" s="4" t="s">
        <v>170</v>
      </c>
      <c r="I296" s="8" t="n">
        <v>19</v>
      </c>
      <c r="J296" s="8" t="n">
        <v>21.3</v>
      </c>
      <c r="K296" s="9" t="n">
        <f aca="false">MIN(120,J296/I296*100)</f>
        <v>112.105263157895</v>
      </c>
      <c r="L296" s="9" t="n">
        <f aca="false">K296*G296/100</f>
        <v>33.6315789473684</v>
      </c>
    </row>
    <row r="297" customFormat="false" ht="15" hidden="false" customHeight="false" outlineLevel="0" collapsed="false">
      <c r="A297" s="4" t="s">
        <v>150</v>
      </c>
      <c r="B297" s="4" t="s">
        <v>151</v>
      </c>
      <c r="C297" s="4" t="s">
        <v>6</v>
      </c>
      <c r="D297" s="4" t="s">
        <v>139</v>
      </c>
      <c r="E297" s="4" t="s">
        <v>32</v>
      </c>
      <c r="F297" s="4" t="s">
        <v>183</v>
      </c>
      <c r="G297" s="4" t="n">
        <v>20</v>
      </c>
      <c r="H297" s="4" t="s">
        <v>170</v>
      </c>
      <c r="I297" s="8" t="n">
        <v>80</v>
      </c>
      <c r="J297" s="8" t="n">
        <v>97.1</v>
      </c>
      <c r="K297" s="9" t="n">
        <f aca="false">MIN(120,J297/I297*100)</f>
        <v>120</v>
      </c>
      <c r="L297" s="9" t="n">
        <f aca="false">K297*G297/100</f>
        <v>24</v>
      </c>
    </row>
    <row r="298" customFormat="false" ht="15" hidden="false" customHeight="false" outlineLevel="0" collapsed="false">
      <c r="A298" s="4" t="s">
        <v>150</v>
      </c>
      <c r="B298" s="4" t="s">
        <v>151</v>
      </c>
      <c r="C298" s="4" t="s">
        <v>6</v>
      </c>
      <c r="D298" s="4" t="s">
        <v>139</v>
      </c>
      <c r="E298" s="4" t="s">
        <v>32</v>
      </c>
      <c r="F298" s="4" t="s">
        <v>184</v>
      </c>
      <c r="G298" s="4" t="n">
        <v>15</v>
      </c>
      <c r="H298" s="4" t="s">
        <v>168</v>
      </c>
      <c r="I298" s="8" t="n">
        <v>89</v>
      </c>
      <c r="J298" s="8" t="n">
        <v>96.9</v>
      </c>
      <c r="K298" s="9" t="n">
        <f aca="false">MIN(120,J298/I298*100)</f>
        <v>108.876404494382</v>
      </c>
      <c r="L298" s="9" t="n">
        <f aca="false">K298*G298/100</f>
        <v>16.3314606741573</v>
      </c>
    </row>
    <row r="299" customFormat="false" ht="15" hidden="false" customHeight="false" outlineLevel="0" collapsed="false">
      <c r="A299" s="4" t="s">
        <v>150</v>
      </c>
      <c r="B299" s="4" t="s">
        <v>151</v>
      </c>
      <c r="C299" s="4" t="s">
        <v>6</v>
      </c>
      <c r="D299" s="4" t="s">
        <v>139</v>
      </c>
      <c r="E299" s="4" t="s">
        <v>32</v>
      </c>
      <c r="F299" s="4" t="s">
        <v>179</v>
      </c>
      <c r="G299" s="4" t="n">
        <v>20</v>
      </c>
      <c r="H299" s="4" t="s">
        <v>168</v>
      </c>
      <c r="I299" s="8" t="n">
        <v>53</v>
      </c>
      <c r="J299" s="8" t="n">
        <v>62.5</v>
      </c>
      <c r="K299" s="9" t="n">
        <f aca="false">MIN(120,J299/I299*100)</f>
        <v>117.924528301887</v>
      </c>
      <c r="L299" s="9" t="n">
        <f aca="false">K299*G299/100</f>
        <v>23.5849056603774</v>
      </c>
    </row>
    <row r="300" customFormat="false" ht="15" hidden="false" customHeight="false" outlineLevel="0" collapsed="false">
      <c r="A300" s="4" t="s">
        <v>150</v>
      </c>
      <c r="B300" s="4" t="s">
        <v>151</v>
      </c>
      <c r="C300" s="4" t="s">
        <v>6</v>
      </c>
      <c r="D300" s="4" t="s">
        <v>139</v>
      </c>
      <c r="E300" s="4" t="s">
        <v>32</v>
      </c>
      <c r="F300" s="4" t="s">
        <v>178</v>
      </c>
      <c r="G300" s="4" t="n">
        <v>15</v>
      </c>
      <c r="H300" s="4" t="s">
        <v>166</v>
      </c>
      <c r="I300" s="8" t="n">
        <v>150</v>
      </c>
      <c r="J300" s="8" t="n">
        <v>185</v>
      </c>
      <c r="K300" s="9" t="n">
        <f aca="false">MIN(120,J300/I300*100)</f>
        <v>120</v>
      </c>
      <c r="L300" s="9" t="n">
        <f aca="false">K300*G300/100</f>
        <v>18</v>
      </c>
    </row>
    <row r="301" customFormat="false" ht="15" hidden="false" customHeight="false" outlineLevel="0" collapsed="false">
      <c r="A301" s="4" t="s">
        <v>152</v>
      </c>
      <c r="B301" s="4" t="s">
        <v>153</v>
      </c>
      <c r="C301" s="4" t="s">
        <v>6</v>
      </c>
      <c r="D301" s="4" t="s">
        <v>139</v>
      </c>
      <c r="E301" s="4" t="s">
        <v>32</v>
      </c>
      <c r="F301" s="4" t="s">
        <v>182</v>
      </c>
      <c r="G301" s="4" t="n">
        <v>30</v>
      </c>
      <c r="H301" s="4" t="s">
        <v>170</v>
      </c>
      <c r="I301" s="8" t="n">
        <v>19</v>
      </c>
      <c r="J301" s="8" t="n">
        <v>15.8</v>
      </c>
      <c r="K301" s="9" t="n">
        <f aca="false">MIN(120,J301/I301*100)</f>
        <v>83.1578947368421</v>
      </c>
      <c r="L301" s="9" t="n">
        <f aca="false">K301*G301/100</f>
        <v>24.9473684210526</v>
      </c>
    </row>
    <row r="302" customFormat="false" ht="15" hidden="false" customHeight="false" outlineLevel="0" collapsed="false">
      <c r="A302" s="4" t="s">
        <v>152</v>
      </c>
      <c r="B302" s="4" t="s">
        <v>153</v>
      </c>
      <c r="C302" s="4" t="s">
        <v>6</v>
      </c>
      <c r="D302" s="4" t="s">
        <v>139</v>
      </c>
      <c r="E302" s="4" t="s">
        <v>32</v>
      </c>
      <c r="F302" s="4" t="s">
        <v>183</v>
      </c>
      <c r="G302" s="4" t="n">
        <v>20</v>
      </c>
      <c r="H302" s="4" t="s">
        <v>170</v>
      </c>
      <c r="I302" s="8" t="n">
        <v>74</v>
      </c>
      <c r="J302" s="8" t="n">
        <v>52</v>
      </c>
      <c r="K302" s="9" t="n">
        <f aca="false">MIN(120,J302/I302*100)</f>
        <v>70.2702702702703</v>
      </c>
      <c r="L302" s="9" t="n">
        <f aca="false">K302*G302/100</f>
        <v>14.0540540540541</v>
      </c>
    </row>
    <row r="303" customFormat="false" ht="15" hidden="false" customHeight="false" outlineLevel="0" collapsed="false">
      <c r="A303" s="4" t="s">
        <v>152</v>
      </c>
      <c r="B303" s="4" t="s">
        <v>153</v>
      </c>
      <c r="C303" s="4" t="s">
        <v>6</v>
      </c>
      <c r="D303" s="4" t="s">
        <v>139</v>
      </c>
      <c r="E303" s="4" t="s">
        <v>32</v>
      </c>
      <c r="F303" s="4" t="s">
        <v>184</v>
      </c>
      <c r="G303" s="4" t="n">
        <v>15</v>
      </c>
      <c r="H303" s="4" t="s">
        <v>168</v>
      </c>
      <c r="I303" s="8" t="n">
        <v>96</v>
      </c>
      <c r="J303" s="8" t="n">
        <v>68.1</v>
      </c>
      <c r="K303" s="9" t="n">
        <f aca="false">MIN(120,J303/I303*100)</f>
        <v>70.9375</v>
      </c>
      <c r="L303" s="9" t="n">
        <f aca="false">K303*G303/100</f>
        <v>10.640625</v>
      </c>
    </row>
    <row r="304" customFormat="false" ht="15" hidden="false" customHeight="false" outlineLevel="0" collapsed="false">
      <c r="A304" s="4" t="s">
        <v>152</v>
      </c>
      <c r="B304" s="4" t="s">
        <v>153</v>
      </c>
      <c r="C304" s="4" t="s">
        <v>6</v>
      </c>
      <c r="D304" s="4" t="s">
        <v>139</v>
      </c>
      <c r="E304" s="4" t="s">
        <v>32</v>
      </c>
      <c r="F304" s="4" t="s">
        <v>179</v>
      </c>
      <c r="G304" s="4" t="n">
        <v>20</v>
      </c>
      <c r="H304" s="4" t="s">
        <v>168</v>
      </c>
      <c r="I304" s="8" t="n">
        <v>53</v>
      </c>
      <c r="J304" s="8" t="n">
        <v>38.3</v>
      </c>
      <c r="K304" s="9" t="n">
        <f aca="false">MIN(120,J304/I304*100)</f>
        <v>72.2641509433962</v>
      </c>
      <c r="L304" s="9" t="n">
        <f aca="false">K304*G304/100</f>
        <v>14.4528301886792</v>
      </c>
    </row>
    <row r="305" customFormat="false" ht="15" hidden="false" customHeight="false" outlineLevel="0" collapsed="false">
      <c r="A305" s="4" t="s">
        <v>152</v>
      </c>
      <c r="B305" s="4" t="s">
        <v>153</v>
      </c>
      <c r="C305" s="4" t="s">
        <v>6</v>
      </c>
      <c r="D305" s="4" t="s">
        <v>139</v>
      </c>
      <c r="E305" s="4" t="s">
        <v>32</v>
      </c>
      <c r="F305" s="4" t="s">
        <v>178</v>
      </c>
      <c r="G305" s="4" t="n">
        <v>15</v>
      </c>
      <c r="H305" s="4" t="s">
        <v>166</v>
      </c>
      <c r="I305" s="8" t="n">
        <v>160</v>
      </c>
      <c r="J305" s="8" t="n">
        <v>112</v>
      </c>
      <c r="K305" s="9" t="n">
        <f aca="false">MIN(120,J305/I305*100)</f>
        <v>70</v>
      </c>
      <c r="L305" s="9" t="n">
        <f aca="false">K305*G305/100</f>
        <v>10.5</v>
      </c>
    </row>
    <row r="306" customFormat="false" ht="15" hidden="false" customHeight="false" outlineLevel="0" collapsed="false">
      <c r="A306" s="4" t="s">
        <v>154</v>
      </c>
      <c r="B306" s="4" t="s">
        <v>155</v>
      </c>
      <c r="C306" s="4" t="s">
        <v>6</v>
      </c>
      <c r="D306" s="4" t="s">
        <v>139</v>
      </c>
      <c r="E306" s="4" t="s">
        <v>32</v>
      </c>
      <c r="F306" s="4" t="s">
        <v>182</v>
      </c>
      <c r="G306" s="4" t="n">
        <v>30</v>
      </c>
      <c r="H306" s="4" t="s">
        <v>170</v>
      </c>
      <c r="I306" s="8" t="n">
        <v>20</v>
      </c>
      <c r="J306" s="8" t="n">
        <v>20.9</v>
      </c>
      <c r="K306" s="9" t="n">
        <f aca="false">MIN(120,J306/I306*100)</f>
        <v>104.5</v>
      </c>
      <c r="L306" s="9" t="n">
        <f aca="false">K306*G306/100</f>
        <v>31.35</v>
      </c>
    </row>
    <row r="307" customFormat="false" ht="15" hidden="false" customHeight="false" outlineLevel="0" collapsed="false">
      <c r="A307" s="4" t="s">
        <v>154</v>
      </c>
      <c r="B307" s="4" t="s">
        <v>155</v>
      </c>
      <c r="C307" s="4" t="s">
        <v>6</v>
      </c>
      <c r="D307" s="4" t="s">
        <v>139</v>
      </c>
      <c r="E307" s="4" t="s">
        <v>32</v>
      </c>
      <c r="F307" s="4" t="s">
        <v>183</v>
      </c>
      <c r="G307" s="4" t="n">
        <v>20</v>
      </c>
      <c r="H307" s="4" t="s">
        <v>170</v>
      </c>
      <c r="I307" s="8" t="n">
        <v>80</v>
      </c>
      <c r="J307" s="8" t="n">
        <v>68.7</v>
      </c>
      <c r="K307" s="9" t="n">
        <f aca="false">MIN(120,J307/I307*100)</f>
        <v>85.875</v>
      </c>
      <c r="L307" s="9" t="n">
        <f aca="false">K307*G307/100</f>
        <v>17.175</v>
      </c>
    </row>
    <row r="308" customFormat="false" ht="15" hidden="false" customHeight="false" outlineLevel="0" collapsed="false">
      <c r="A308" s="4" t="s">
        <v>154</v>
      </c>
      <c r="B308" s="4" t="s">
        <v>155</v>
      </c>
      <c r="C308" s="4" t="s">
        <v>6</v>
      </c>
      <c r="D308" s="4" t="s">
        <v>139</v>
      </c>
      <c r="E308" s="4" t="s">
        <v>32</v>
      </c>
      <c r="F308" s="4" t="s">
        <v>184</v>
      </c>
      <c r="G308" s="4" t="n">
        <v>15</v>
      </c>
      <c r="H308" s="4" t="s">
        <v>168</v>
      </c>
      <c r="I308" s="8" t="n">
        <v>98</v>
      </c>
      <c r="J308" s="8" t="n">
        <v>83.5</v>
      </c>
      <c r="K308" s="9" t="n">
        <f aca="false">MIN(120,J308/I308*100)</f>
        <v>85.2040816326531</v>
      </c>
      <c r="L308" s="9" t="n">
        <f aca="false">K308*G308/100</f>
        <v>12.780612244898</v>
      </c>
    </row>
    <row r="309" customFormat="false" ht="15" hidden="false" customHeight="false" outlineLevel="0" collapsed="false">
      <c r="A309" s="4" t="s">
        <v>154</v>
      </c>
      <c r="B309" s="4" t="s">
        <v>155</v>
      </c>
      <c r="C309" s="4" t="s">
        <v>6</v>
      </c>
      <c r="D309" s="4" t="s">
        <v>139</v>
      </c>
      <c r="E309" s="4" t="s">
        <v>32</v>
      </c>
      <c r="F309" s="4" t="s">
        <v>179</v>
      </c>
      <c r="G309" s="4" t="n">
        <v>20</v>
      </c>
      <c r="H309" s="4" t="s">
        <v>168</v>
      </c>
      <c r="I309" s="8" t="n">
        <v>60</v>
      </c>
      <c r="J309" s="8" t="n">
        <v>54.7</v>
      </c>
      <c r="K309" s="9" t="n">
        <f aca="false">MIN(120,J309/I309*100)</f>
        <v>91.1666666666667</v>
      </c>
      <c r="L309" s="9" t="n">
        <f aca="false">K309*G309/100</f>
        <v>18.2333333333333</v>
      </c>
    </row>
    <row r="310" customFormat="false" ht="15" hidden="false" customHeight="false" outlineLevel="0" collapsed="false">
      <c r="A310" s="4" t="s">
        <v>154</v>
      </c>
      <c r="B310" s="4" t="s">
        <v>155</v>
      </c>
      <c r="C310" s="4" t="s">
        <v>6</v>
      </c>
      <c r="D310" s="4" t="s">
        <v>139</v>
      </c>
      <c r="E310" s="4" t="s">
        <v>32</v>
      </c>
      <c r="F310" s="4" t="s">
        <v>178</v>
      </c>
      <c r="G310" s="4" t="n">
        <v>15</v>
      </c>
      <c r="H310" s="4" t="s">
        <v>166</v>
      </c>
      <c r="I310" s="8" t="n">
        <v>140</v>
      </c>
      <c r="J310" s="8" t="n">
        <v>148</v>
      </c>
      <c r="K310" s="9" t="n">
        <f aca="false">MIN(120,J310/I310*100)</f>
        <v>105.714285714286</v>
      </c>
      <c r="L310" s="9" t="n">
        <f aca="false">K310*G310/100</f>
        <v>15.8571428571429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32"/>
    <col collapsed="false" customWidth="true" hidden="false" outlineLevel="0" max="8" min="8" style="0" width="13"/>
    <col collapsed="false" customWidth="true" hidden="false" outlineLevel="0" max="11" min="9" style="0" width="12"/>
  </cols>
  <sheetData>
    <row r="1" customFormat="false" ht="35.05" hidden="false" customHeight="false" outlineLevel="0" collapsed="false">
      <c r="A1" s="3" t="s">
        <v>23</v>
      </c>
      <c r="B1" s="3" t="s">
        <v>24</v>
      </c>
      <c r="C1" s="3" t="s">
        <v>2</v>
      </c>
      <c r="D1" s="3" t="s">
        <v>25</v>
      </c>
      <c r="E1" s="3" t="s">
        <v>26</v>
      </c>
      <c r="F1" s="3" t="s">
        <v>185</v>
      </c>
      <c r="G1" s="3" t="s">
        <v>186</v>
      </c>
      <c r="H1" s="3" t="s">
        <v>187</v>
      </c>
      <c r="I1" s="3" t="s">
        <v>188</v>
      </c>
      <c r="J1" s="3" t="s">
        <v>189</v>
      </c>
      <c r="K1" s="3" t="s">
        <v>190</v>
      </c>
    </row>
    <row r="2" customFormat="false" ht="15" hidden="false" customHeight="false" outlineLevel="0" collapsed="false">
      <c r="A2" s="4" t="s">
        <v>29</v>
      </c>
      <c r="B2" s="4" t="s">
        <v>30</v>
      </c>
      <c r="C2" s="4" t="s">
        <v>9</v>
      </c>
      <c r="D2" s="4" t="s">
        <v>31</v>
      </c>
      <c r="E2" s="4" t="s">
        <v>32</v>
      </c>
      <c r="F2" s="4" t="n">
        <v>1</v>
      </c>
      <c r="G2" s="4" t="s">
        <v>191</v>
      </c>
      <c r="H2" s="4" t="s">
        <v>192</v>
      </c>
      <c r="I2" s="4" t="n">
        <v>5</v>
      </c>
      <c r="J2" s="4" t="n">
        <v>5</v>
      </c>
      <c r="K2" s="4" t="n">
        <f aca="false">I2-J2</f>
        <v>0</v>
      </c>
    </row>
    <row r="3" customFormat="false" ht="15" hidden="false" customHeight="false" outlineLevel="0" collapsed="false">
      <c r="A3" s="4" t="s">
        <v>29</v>
      </c>
      <c r="B3" s="4" t="s">
        <v>30</v>
      </c>
      <c r="C3" s="4" t="s">
        <v>9</v>
      </c>
      <c r="D3" s="4" t="s">
        <v>31</v>
      </c>
      <c r="E3" s="4" t="s">
        <v>32</v>
      </c>
      <c r="F3" s="4" t="n">
        <v>2</v>
      </c>
      <c r="G3" s="4" t="s">
        <v>193</v>
      </c>
      <c r="H3" s="4" t="s">
        <v>192</v>
      </c>
      <c r="I3" s="4" t="n">
        <v>5</v>
      </c>
      <c r="J3" s="4" t="n">
        <v>5</v>
      </c>
      <c r="K3" s="4" t="n">
        <f aca="false">I3-J3</f>
        <v>0</v>
      </c>
    </row>
    <row r="4" customFormat="false" ht="15" hidden="false" customHeight="false" outlineLevel="0" collapsed="false">
      <c r="A4" s="4" t="s">
        <v>29</v>
      </c>
      <c r="B4" s="4" t="s">
        <v>30</v>
      </c>
      <c r="C4" s="4" t="s">
        <v>9</v>
      </c>
      <c r="D4" s="4" t="s">
        <v>31</v>
      </c>
      <c r="E4" s="4" t="s">
        <v>32</v>
      </c>
      <c r="F4" s="4" t="n">
        <v>3</v>
      </c>
      <c r="G4" s="4" t="s">
        <v>194</v>
      </c>
      <c r="H4" s="4" t="s">
        <v>192</v>
      </c>
      <c r="I4" s="4" t="n">
        <v>5</v>
      </c>
      <c r="J4" s="4" t="n">
        <v>5</v>
      </c>
      <c r="K4" s="4" t="n">
        <f aca="false">I4-J4</f>
        <v>0</v>
      </c>
    </row>
    <row r="5" customFormat="false" ht="15" hidden="false" customHeight="false" outlineLevel="0" collapsed="false">
      <c r="A5" s="4" t="s">
        <v>29</v>
      </c>
      <c r="B5" s="4" t="s">
        <v>30</v>
      </c>
      <c r="C5" s="4" t="s">
        <v>9</v>
      </c>
      <c r="D5" s="4" t="s">
        <v>31</v>
      </c>
      <c r="E5" s="4" t="s">
        <v>32</v>
      </c>
      <c r="F5" s="4" t="n">
        <v>11</v>
      </c>
      <c r="G5" s="4" t="s">
        <v>195</v>
      </c>
      <c r="H5" s="4" t="s">
        <v>196</v>
      </c>
      <c r="I5" s="4" t="n">
        <v>5</v>
      </c>
      <c r="J5" s="4" t="n">
        <v>5</v>
      </c>
      <c r="K5" s="4" t="n">
        <f aca="false">I5-J5</f>
        <v>0</v>
      </c>
    </row>
    <row r="6" customFormat="false" ht="15" hidden="false" customHeight="false" outlineLevel="0" collapsed="false">
      <c r="A6" s="4" t="s">
        <v>29</v>
      </c>
      <c r="B6" s="4" t="s">
        <v>30</v>
      </c>
      <c r="C6" s="4" t="s">
        <v>9</v>
      </c>
      <c r="D6" s="4" t="s">
        <v>31</v>
      </c>
      <c r="E6" s="4" t="s">
        <v>32</v>
      </c>
      <c r="F6" s="4" t="n">
        <v>12</v>
      </c>
      <c r="G6" s="4" t="s">
        <v>197</v>
      </c>
      <c r="H6" s="4" t="s">
        <v>196</v>
      </c>
      <c r="I6" s="4" t="n">
        <v>4</v>
      </c>
      <c r="J6" s="4" t="n">
        <v>5</v>
      </c>
      <c r="K6" s="4" t="n">
        <f aca="false">I6-J6</f>
        <v>-1</v>
      </c>
    </row>
    <row r="7" customFormat="false" ht="15" hidden="false" customHeight="false" outlineLevel="0" collapsed="false">
      <c r="A7" s="4" t="s">
        <v>29</v>
      </c>
      <c r="B7" s="4" t="s">
        <v>30</v>
      </c>
      <c r="C7" s="4" t="s">
        <v>9</v>
      </c>
      <c r="D7" s="4" t="s">
        <v>31</v>
      </c>
      <c r="E7" s="4" t="s">
        <v>32</v>
      </c>
      <c r="F7" s="4" t="n">
        <v>13</v>
      </c>
      <c r="G7" s="4" t="s">
        <v>198</v>
      </c>
      <c r="H7" s="4" t="s">
        <v>196</v>
      </c>
      <c r="I7" s="4" t="n">
        <v>4</v>
      </c>
      <c r="J7" s="4" t="n">
        <v>5</v>
      </c>
      <c r="K7" s="4" t="n">
        <f aca="false">I7-J7</f>
        <v>-1</v>
      </c>
    </row>
    <row r="8" customFormat="false" ht="15" hidden="false" customHeight="false" outlineLevel="0" collapsed="false">
      <c r="A8" s="4" t="s">
        <v>29</v>
      </c>
      <c r="B8" s="4" t="s">
        <v>30</v>
      </c>
      <c r="C8" s="4" t="s">
        <v>9</v>
      </c>
      <c r="D8" s="4" t="s">
        <v>31</v>
      </c>
      <c r="E8" s="4" t="s">
        <v>32</v>
      </c>
      <c r="F8" s="4" t="n">
        <v>14</v>
      </c>
      <c r="G8" s="4" t="s">
        <v>199</v>
      </c>
      <c r="H8" s="4" t="s">
        <v>200</v>
      </c>
      <c r="I8" s="4" t="n">
        <v>4</v>
      </c>
      <c r="J8" s="4" t="n">
        <v>4</v>
      </c>
      <c r="K8" s="4" t="n">
        <f aca="false">I8-J8</f>
        <v>0</v>
      </c>
    </row>
    <row r="9" customFormat="false" ht="15" hidden="false" customHeight="false" outlineLevel="0" collapsed="false">
      <c r="A9" s="4" t="s">
        <v>33</v>
      </c>
      <c r="B9" s="4" t="s">
        <v>34</v>
      </c>
      <c r="C9" s="4" t="s">
        <v>7</v>
      </c>
      <c r="D9" s="4" t="s">
        <v>35</v>
      </c>
      <c r="E9" s="4" t="s">
        <v>36</v>
      </c>
      <c r="F9" s="4" t="n">
        <v>1</v>
      </c>
      <c r="G9" s="4" t="s">
        <v>191</v>
      </c>
      <c r="H9" s="4" t="s">
        <v>192</v>
      </c>
      <c r="I9" s="4" t="n">
        <v>5</v>
      </c>
      <c r="J9" s="4" t="n">
        <v>4</v>
      </c>
      <c r="K9" s="4" t="n">
        <f aca="false">I9-J9</f>
        <v>1</v>
      </c>
    </row>
    <row r="10" customFormat="false" ht="15" hidden="false" customHeight="false" outlineLevel="0" collapsed="false">
      <c r="A10" s="4" t="s">
        <v>33</v>
      </c>
      <c r="B10" s="4" t="s">
        <v>34</v>
      </c>
      <c r="C10" s="4" t="s">
        <v>7</v>
      </c>
      <c r="D10" s="4" t="s">
        <v>35</v>
      </c>
      <c r="E10" s="4" t="s">
        <v>36</v>
      </c>
      <c r="F10" s="4" t="n">
        <v>2</v>
      </c>
      <c r="G10" s="4" t="s">
        <v>193</v>
      </c>
      <c r="H10" s="4" t="s">
        <v>192</v>
      </c>
      <c r="I10" s="4" t="n">
        <v>4</v>
      </c>
      <c r="J10" s="4" t="n">
        <v>4</v>
      </c>
      <c r="K10" s="4" t="n">
        <f aca="false">I10-J10</f>
        <v>0</v>
      </c>
    </row>
    <row r="11" customFormat="false" ht="15" hidden="false" customHeight="false" outlineLevel="0" collapsed="false">
      <c r="A11" s="4" t="s">
        <v>33</v>
      </c>
      <c r="B11" s="4" t="s">
        <v>34</v>
      </c>
      <c r="C11" s="4" t="s">
        <v>7</v>
      </c>
      <c r="D11" s="4" t="s">
        <v>35</v>
      </c>
      <c r="E11" s="4" t="s">
        <v>36</v>
      </c>
      <c r="F11" s="4" t="n">
        <v>3</v>
      </c>
      <c r="G11" s="4" t="s">
        <v>194</v>
      </c>
      <c r="H11" s="4" t="s">
        <v>192</v>
      </c>
      <c r="I11" s="4" t="n">
        <v>5</v>
      </c>
      <c r="J11" s="4" t="n">
        <v>5</v>
      </c>
      <c r="K11" s="4" t="n">
        <f aca="false">I11-J11</f>
        <v>0</v>
      </c>
    </row>
    <row r="12" customFormat="false" ht="15" hidden="false" customHeight="false" outlineLevel="0" collapsed="false">
      <c r="A12" s="4" t="s">
        <v>33</v>
      </c>
      <c r="B12" s="4" t="s">
        <v>34</v>
      </c>
      <c r="C12" s="4" t="s">
        <v>7</v>
      </c>
      <c r="D12" s="4" t="s">
        <v>35</v>
      </c>
      <c r="E12" s="4" t="s">
        <v>36</v>
      </c>
      <c r="F12" s="4" t="n">
        <v>11</v>
      </c>
      <c r="G12" s="4" t="s">
        <v>195</v>
      </c>
      <c r="H12" s="4" t="s">
        <v>196</v>
      </c>
      <c r="I12" s="4" t="n">
        <v>5</v>
      </c>
      <c r="J12" s="4" t="n">
        <v>4</v>
      </c>
      <c r="K12" s="4" t="n">
        <f aca="false">I12-J12</f>
        <v>1</v>
      </c>
    </row>
    <row r="13" customFormat="false" ht="15" hidden="false" customHeight="false" outlineLevel="0" collapsed="false">
      <c r="A13" s="4" t="s">
        <v>33</v>
      </c>
      <c r="B13" s="4" t="s">
        <v>34</v>
      </c>
      <c r="C13" s="4" t="s">
        <v>7</v>
      </c>
      <c r="D13" s="4" t="s">
        <v>35</v>
      </c>
      <c r="E13" s="4" t="s">
        <v>36</v>
      </c>
      <c r="F13" s="4" t="n">
        <v>12</v>
      </c>
      <c r="G13" s="4" t="s">
        <v>197</v>
      </c>
      <c r="H13" s="4" t="s">
        <v>196</v>
      </c>
      <c r="I13" s="4" t="n">
        <v>3</v>
      </c>
      <c r="J13" s="4" t="n">
        <v>4</v>
      </c>
      <c r="K13" s="4" t="n">
        <f aca="false">I13-J13</f>
        <v>-1</v>
      </c>
    </row>
    <row r="14" customFormat="false" ht="15" hidden="false" customHeight="false" outlineLevel="0" collapsed="false">
      <c r="A14" s="4" t="s">
        <v>33</v>
      </c>
      <c r="B14" s="4" t="s">
        <v>34</v>
      </c>
      <c r="C14" s="4" t="s">
        <v>7</v>
      </c>
      <c r="D14" s="4" t="s">
        <v>35</v>
      </c>
      <c r="E14" s="4" t="s">
        <v>36</v>
      </c>
      <c r="F14" s="4" t="n">
        <v>13</v>
      </c>
      <c r="G14" s="4" t="s">
        <v>198</v>
      </c>
      <c r="H14" s="4" t="s">
        <v>196</v>
      </c>
      <c r="I14" s="4" t="n">
        <v>3</v>
      </c>
      <c r="J14" s="4" t="n">
        <v>4</v>
      </c>
      <c r="K14" s="4" t="n">
        <f aca="false">I14-J14</f>
        <v>-1</v>
      </c>
    </row>
    <row r="15" customFormat="false" ht="15" hidden="false" customHeight="false" outlineLevel="0" collapsed="false">
      <c r="A15" s="4" t="s">
        <v>33</v>
      </c>
      <c r="B15" s="4" t="s">
        <v>34</v>
      </c>
      <c r="C15" s="4" t="s">
        <v>7</v>
      </c>
      <c r="D15" s="4" t="s">
        <v>35</v>
      </c>
      <c r="E15" s="4" t="s">
        <v>36</v>
      </c>
      <c r="F15" s="4" t="n">
        <v>14</v>
      </c>
      <c r="G15" s="4" t="s">
        <v>199</v>
      </c>
      <c r="H15" s="4" t="s">
        <v>200</v>
      </c>
      <c r="I15" s="4" t="n">
        <v>4</v>
      </c>
      <c r="J15" s="4" t="n">
        <v>4</v>
      </c>
      <c r="K15" s="4" t="n">
        <f aca="false">I15-J15</f>
        <v>0</v>
      </c>
    </row>
    <row r="16" customFormat="false" ht="15" hidden="false" customHeight="false" outlineLevel="0" collapsed="false">
      <c r="A16" s="4" t="s">
        <v>37</v>
      </c>
      <c r="B16" s="4" t="s">
        <v>38</v>
      </c>
      <c r="C16" s="4" t="s">
        <v>5</v>
      </c>
      <c r="D16" s="4" t="s">
        <v>35</v>
      </c>
      <c r="E16" s="4" t="s">
        <v>36</v>
      </c>
      <c r="F16" s="4" t="n">
        <v>1</v>
      </c>
      <c r="G16" s="4" t="s">
        <v>191</v>
      </c>
      <c r="H16" s="4" t="s">
        <v>192</v>
      </c>
      <c r="I16" s="4" t="n">
        <v>4</v>
      </c>
      <c r="J16" s="4" t="n">
        <v>4</v>
      </c>
      <c r="K16" s="4" t="n">
        <f aca="false">I16-J16</f>
        <v>0</v>
      </c>
    </row>
    <row r="17" customFormat="false" ht="15" hidden="false" customHeight="false" outlineLevel="0" collapsed="false">
      <c r="A17" s="4" t="s">
        <v>37</v>
      </c>
      <c r="B17" s="4" t="s">
        <v>38</v>
      </c>
      <c r="C17" s="4" t="s">
        <v>5</v>
      </c>
      <c r="D17" s="4" t="s">
        <v>35</v>
      </c>
      <c r="E17" s="4" t="s">
        <v>36</v>
      </c>
      <c r="F17" s="4" t="n">
        <v>2</v>
      </c>
      <c r="G17" s="4" t="s">
        <v>193</v>
      </c>
      <c r="H17" s="4" t="s">
        <v>192</v>
      </c>
      <c r="I17" s="4" t="n">
        <v>5</v>
      </c>
      <c r="J17" s="4" t="n">
        <v>5</v>
      </c>
      <c r="K17" s="4" t="n">
        <f aca="false">I17-J17</f>
        <v>0</v>
      </c>
    </row>
    <row r="18" customFormat="false" ht="15" hidden="false" customHeight="false" outlineLevel="0" collapsed="false">
      <c r="A18" s="4" t="s">
        <v>37</v>
      </c>
      <c r="B18" s="4" t="s">
        <v>38</v>
      </c>
      <c r="C18" s="4" t="s">
        <v>5</v>
      </c>
      <c r="D18" s="4" t="s">
        <v>35</v>
      </c>
      <c r="E18" s="4" t="s">
        <v>36</v>
      </c>
      <c r="F18" s="4" t="n">
        <v>3</v>
      </c>
      <c r="G18" s="4" t="s">
        <v>194</v>
      </c>
      <c r="H18" s="4" t="s">
        <v>192</v>
      </c>
      <c r="I18" s="4" t="n">
        <v>4</v>
      </c>
      <c r="J18" s="4" t="n">
        <v>4</v>
      </c>
      <c r="K18" s="4" t="n">
        <f aca="false">I18-J18</f>
        <v>0</v>
      </c>
    </row>
    <row r="19" customFormat="false" ht="15" hidden="false" customHeight="false" outlineLevel="0" collapsed="false">
      <c r="A19" s="4" t="s">
        <v>37</v>
      </c>
      <c r="B19" s="4" t="s">
        <v>38</v>
      </c>
      <c r="C19" s="4" t="s">
        <v>5</v>
      </c>
      <c r="D19" s="4" t="s">
        <v>35</v>
      </c>
      <c r="E19" s="4" t="s">
        <v>36</v>
      </c>
      <c r="F19" s="4" t="n">
        <v>5</v>
      </c>
      <c r="G19" s="4" t="s">
        <v>201</v>
      </c>
      <c r="H19" s="4" t="s">
        <v>202</v>
      </c>
      <c r="I19" s="4" t="n">
        <v>5</v>
      </c>
      <c r="J19" s="4" t="n">
        <v>5</v>
      </c>
      <c r="K19" s="4" t="n">
        <f aca="false">I19-J19</f>
        <v>0</v>
      </c>
    </row>
    <row r="20" customFormat="false" ht="15" hidden="false" customHeight="false" outlineLevel="0" collapsed="false">
      <c r="A20" s="4" t="s">
        <v>37</v>
      </c>
      <c r="B20" s="4" t="s">
        <v>38</v>
      </c>
      <c r="C20" s="4" t="s">
        <v>5</v>
      </c>
      <c r="D20" s="4" t="s">
        <v>35</v>
      </c>
      <c r="E20" s="4" t="s">
        <v>36</v>
      </c>
      <c r="F20" s="4" t="n">
        <v>6</v>
      </c>
      <c r="G20" s="4" t="s">
        <v>203</v>
      </c>
      <c r="H20" s="4" t="s">
        <v>202</v>
      </c>
      <c r="I20" s="4" t="n">
        <v>5</v>
      </c>
      <c r="J20" s="4" t="n">
        <v>4</v>
      </c>
      <c r="K20" s="4" t="n">
        <f aca="false">I20-J20</f>
        <v>1</v>
      </c>
    </row>
    <row r="21" customFormat="false" ht="15" hidden="false" customHeight="false" outlineLevel="0" collapsed="false">
      <c r="A21" s="4" t="s">
        <v>37</v>
      </c>
      <c r="B21" s="4" t="s">
        <v>38</v>
      </c>
      <c r="C21" s="4" t="s">
        <v>5</v>
      </c>
      <c r="D21" s="4" t="s">
        <v>35</v>
      </c>
      <c r="E21" s="4" t="s">
        <v>36</v>
      </c>
      <c r="F21" s="4" t="n">
        <v>7</v>
      </c>
      <c r="G21" s="4" t="s">
        <v>204</v>
      </c>
      <c r="H21" s="4" t="s">
        <v>205</v>
      </c>
      <c r="I21" s="4" t="n">
        <v>5</v>
      </c>
      <c r="J21" s="4" t="n">
        <v>5</v>
      </c>
      <c r="K21" s="4" t="n">
        <f aca="false">I21-J21</f>
        <v>0</v>
      </c>
    </row>
    <row r="22" customFormat="false" ht="15" hidden="false" customHeight="false" outlineLevel="0" collapsed="false">
      <c r="A22" s="4" t="s">
        <v>37</v>
      </c>
      <c r="B22" s="4" t="s">
        <v>38</v>
      </c>
      <c r="C22" s="4" t="s">
        <v>5</v>
      </c>
      <c r="D22" s="4" t="s">
        <v>35</v>
      </c>
      <c r="E22" s="4" t="s">
        <v>36</v>
      </c>
      <c r="F22" s="4" t="n">
        <v>8</v>
      </c>
      <c r="G22" s="4" t="s">
        <v>206</v>
      </c>
      <c r="H22" s="4" t="s">
        <v>205</v>
      </c>
      <c r="I22" s="4" t="n">
        <v>5</v>
      </c>
      <c r="J22" s="4" t="n">
        <v>5</v>
      </c>
      <c r="K22" s="4" t="n">
        <f aca="false">I22-J22</f>
        <v>0</v>
      </c>
    </row>
    <row r="23" customFormat="false" ht="15" hidden="false" customHeight="false" outlineLevel="0" collapsed="false">
      <c r="A23" s="4" t="s">
        <v>37</v>
      </c>
      <c r="B23" s="4" t="s">
        <v>38</v>
      </c>
      <c r="C23" s="4" t="s">
        <v>5</v>
      </c>
      <c r="D23" s="4" t="s">
        <v>35</v>
      </c>
      <c r="E23" s="4" t="s">
        <v>36</v>
      </c>
      <c r="F23" s="4" t="n">
        <v>9</v>
      </c>
      <c r="G23" s="4" t="s">
        <v>207</v>
      </c>
      <c r="H23" s="4" t="s">
        <v>208</v>
      </c>
      <c r="I23" s="4" t="n">
        <v>5</v>
      </c>
      <c r="J23" s="4" t="n">
        <v>4</v>
      </c>
      <c r="K23" s="4" t="n">
        <f aca="false">I23-J23</f>
        <v>1</v>
      </c>
    </row>
    <row r="24" customFormat="false" ht="15" hidden="false" customHeight="false" outlineLevel="0" collapsed="false">
      <c r="A24" s="4" t="s">
        <v>37</v>
      </c>
      <c r="B24" s="4" t="s">
        <v>38</v>
      </c>
      <c r="C24" s="4" t="s">
        <v>5</v>
      </c>
      <c r="D24" s="4" t="s">
        <v>35</v>
      </c>
      <c r="E24" s="4" t="s">
        <v>36</v>
      </c>
      <c r="F24" s="4" t="n">
        <v>10</v>
      </c>
      <c r="G24" s="4" t="s">
        <v>209</v>
      </c>
      <c r="H24" s="4" t="s">
        <v>208</v>
      </c>
      <c r="I24" s="4" t="n">
        <v>5</v>
      </c>
      <c r="J24" s="4" t="n">
        <v>5</v>
      </c>
      <c r="K24" s="4" t="n">
        <f aca="false">I24-J24</f>
        <v>0</v>
      </c>
    </row>
    <row r="25" customFormat="false" ht="15" hidden="false" customHeight="false" outlineLevel="0" collapsed="false">
      <c r="A25" s="4" t="s">
        <v>37</v>
      </c>
      <c r="B25" s="4" t="s">
        <v>38</v>
      </c>
      <c r="C25" s="4" t="s">
        <v>5</v>
      </c>
      <c r="D25" s="4" t="s">
        <v>35</v>
      </c>
      <c r="E25" s="4" t="s">
        <v>36</v>
      </c>
      <c r="F25" s="4" t="n">
        <v>14</v>
      </c>
      <c r="G25" s="4" t="s">
        <v>199</v>
      </c>
      <c r="H25" s="4" t="s">
        <v>200</v>
      </c>
      <c r="I25" s="4" t="n">
        <v>4</v>
      </c>
      <c r="J25" s="4" t="n">
        <v>5</v>
      </c>
      <c r="K25" s="4" t="n">
        <f aca="false">I25-J25</f>
        <v>-1</v>
      </c>
    </row>
    <row r="26" customFormat="false" ht="15" hidden="false" customHeight="false" outlineLevel="0" collapsed="false">
      <c r="A26" s="4" t="s">
        <v>39</v>
      </c>
      <c r="B26" s="4" t="s">
        <v>40</v>
      </c>
      <c r="C26" s="4" t="s">
        <v>5</v>
      </c>
      <c r="D26" s="4" t="s">
        <v>35</v>
      </c>
      <c r="E26" s="4" t="s">
        <v>36</v>
      </c>
      <c r="F26" s="4" t="n">
        <v>1</v>
      </c>
      <c r="G26" s="4" t="s">
        <v>191</v>
      </c>
      <c r="H26" s="4" t="s">
        <v>192</v>
      </c>
      <c r="I26" s="4" t="n">
        <v>5</v>
      </c>
      <c r="J26" s="4" t="n">
        <v>5</v>
      </c>
      <c r="K26" s="4" t="n">
        <f aca="false">I26-J26</f>
        <v>0</v>
      </c>
    </row>
    <row r="27" customFormat="false" ht="15" hidden="false" customHeight="false" outlineLevel="0" collapsed="false">
      <c r="A27" s="4" t="s">
        <v>39</v>
      </c>
      <c r="B27" s="4" t="s">
        <v>40</v>
      </c>
      <c r="C27" s="4" t="s">
        <v>5</v>
      </c>
      <c r="D27" s="4" t="s">
        <v>35</v>
      </c>
      <c r="E27" s="4" t="s">
        <v>36</v>
      </c>
      <c r="F27" s="4" t="n">
        <v>2</v>
      </c>
      <c r="G27" s="4" t="s">
        <v>193</v>
      </c>
      <c r="H27" s="4" t="s">
        <v>192</v>
      </c>
      <c r="I27" s="4" t="n">
        <v>4</v>
      </c>
      <c r="J27" s="4" t="n">
        <v>4</v>
      </c>
      <c r="K27" s="4" t="n">
        <f aca="false">I27-J27</f>
        <v>0</v>
      </c>
    </row>
    <row r="28" customFormat="false" ht="15" hidden="false" customHeight="false" outlineLevel="0" collapsed="false">
      <c r="A28" s="4" t="s">
        <v>39</v>
      </c>
      <c r="B28" s="4" t="s">
        <v>40</v>
      </c>
      <c r="C28" s="4" t="s">
        <v>5</v>
      </c>
      <c r="D28" s="4" t="s">
        <v>35</v>
      </c>
      <c r="E28" s="4" t="s">
        <v>36</v>
      </c>
      <c r="F28" s="4" t="n">
        <v>3</v>
      </c>
      <c r="G28" s="4" t="s">
        <v>194</v>
      </c>
      <c r="H28" s="4" t="s">
        <v>192</v>
      </c>
      <c r="I28" s="4" t="n">
        <v>5</v>
      </c>
      <c r="J28" s="4" t="n">
        <v>5</v>
      </c>
      <c r="K28" s="4" t="n">
        <f aca="false">I28-J28</f>
        <v>0</v>
      </c>
    </row>
    <row r="29" customFormat="false" ht="15" hidden="false" customHeight="false" outlineLevel="0" collapsed="false">
      <c r="A29" s="4" t="s">
        <v>39</v>
      </c>
      <c r="B29" s="4" t="s">
        <v>40</v>
      </c>
      <c r="C29" s="4" t="s">
        <v>5</v>
      </c>
      <c r="D29" s="4" t="s">
        <v>35</v>
      </c>
      <c r="E29" s="4" t="s">
        <v>36</v>
      </c>
      <c r="F29" s="4" t="n">
        <v>5</v>
      </c>
      <c r="G29" s="4" t="s">
        <v>201</v>
      </c>
      <c r="H29" s="4" t="s">
        <v>202</v>
      </c>
      <c r="I29" s="4" t="n">
        <v>5</v>
      </c>
      <c r="J29" s="4" t="n">
        <v>5</v>
      </c>
      <c r="K29" s="4" t="n">
        <f aca="false">I29-J29</f>
        <v>0</v>
      </c>
    </row>
    <row r="30" customFormat="false" ht="15" hidden="false" customHeight="false" outlineLevel="0" collapsed="false">
      <c r="A30" s="4" t="s">
        <v>39</v>
      </c>
      <c r="B30" s="4" t="s">
        <v>40</v>
      </c>
      <c r="C30" s="4" t="s">
        <v>5</v>
      </c>
      <c r="D30" s="4" t="s">
        <v>35</v>
      </c>
      <c r="E30" s="4" t="s">
        <v>36</v>
      </c>
      <c r="F30" s="4" t="n">
        <v>6</v>
      </c>
      <c r="G30" s="4" t="s">
        <v>203</v>
      </c>
      <c r="H30" s="4" t="s">
        <v>202</v>
      </c>
      <c r="I30" s="4" t="n">
        <v>5</v>
      </c>
      <c r="J30" s="4" t="n">
        <v>4</v>
      </c>
      <c r="K30" s="4" t="n">
        <f aca="false">I30-J30</f>
        <v>1</v>
      </c>
    </row>
    <row r="31" customFormat="false" ht="15" hidden="false" customHeight="false" outlineLevel="0" collapsed="false">
      <c r="A31" s="4" t="s">
        <v>39</v>
      </c>
      <c r="B31" s="4" t="s">
        <v>40</v>
      </c>
      <c r="C31" s="4" t="s">
        <v>5</v>
      </c>
      <c r="D31" s="4" t="s">
        <v>35</v>
      </c>
      <c r="E31" s="4" t="s">
        <v>36</v>
      </c>
      <c r="F31" s="4" t="n">
        <v>7</v>
      </c>
      <c r="G31" s="4" t="s">
        <v>204</v>
      </c>
      <c r="H31" s="4" t="s">
        <v>205</v>
      </c>
      <c r="I31" s="4" t="n">
        <v>4</v>
      </c>
      <c r="J31" s="4" t="n">
        <v>4</v>
      </c>
      <c r="K31" s="4" t="n">
        <f aca="false">I31-J31</f>
        <v>0</v>
      </c>
    </row>
    <row r="32" customFormat="false" ht="15" hidden="false" customHeight="false" outlineLevel="0" collapsed="false">
      <c r="A32" s="4" t="s">
        <v>39</v>
      </c>
      <c r="B32" s="4" t="s">
        <v>40</v>
      </c>
      <c r="C32" s="4" t="s">
        <v>5</v>
      </c>
      <c r="D32" s="4" t="s">
        <v>35</v>
      </c>
      <c r="E32" s="4" t="s">
        <v>36</v>
      </c>
      <c r="F32" s="4" t="n">
        <v>8</v>
      </c>
      <c r="G32" s="4" t="s">
        <v>206</v>
      </c>
      <c r="H32" s="4" t="s">
        <v>205</v>
      </c>
      <c r="I32" s="4" t="n">
        <v>3</v>
      </c>
      <c r="J32" s="4" t="n">
        <v>4</v>
      </c>
      <c r="K32" s="4" t="n">
        <f aca="false">I32-J32</f>
        <v>-1</v>
      </c>
    </row>
    <row r="33" customFormat="false" ht="15" hidden="false" customHeight="false" outlineLevel="0" collapsed="false">
      <c r="A33" s="4" t="s">
        <v>39</v>
      </c>
      <c r="B33" s="4" t="s">
        <v>40</v>
      </c>
      <c r="C33" s="4" t="s">
        <v>5</v>
      </c>
      <c r="D33" s="4" t="s">
        <v>35</v>
      </c>
      <c r="E33" s="4" t="s">
        <v>36</v>
      </c>
      <c r="F33" s="4" t="n">
        <v>9</v>
      </c>
      <c r="G33" s="4" t="s">
        <v>207</v>
      </c>
      <c r="H33" s="4" t="s">
        <v>208</v>
      </c>
      <c r="I33" s="4" t="n">
        <v>4</v>
      </c>
      <c r="J33" s="4" t="n">
        <v>4</v>
      </c>
      <c r="K33" s="4" t="n">
        <f aca="false">I33-J33</f>
        <v>0</v>
      </c>
    </row>
    <row r="34" customFormat="false" ht="15" hidden="false" customHeight="false" outlineLevel="0" collapsed="false">
      <c r="A34" s="4" t="s">
        <v>39</v>
      </c>
      <c r="B34" s="4" t="s">
        <v>40</v>
      </c>
      <c r="C34" s="4" t="s">
        <v>5</v>
      </c>
      <c r="D34" s="4" t="s">
        <v>35</v>
      </c>
      <c r="E34" s="4" t="s">
        <v>36</v>
      </c>
      <c r="F34" s="4" t="n">
        <v>10</v>
      </c>
      <c r="G34" s="4" t="s">
        <v>209</v>
      </c>
      <c r="H34" s="4" t="s">
        <v>208</v>
      </c>
      <c r="I34" s="4" t="n">
        <v>4</v>
      </c>
      <c r="J34" s="4" t="n">
        <v>4</v>
      </c>
      <c r="K34" s="4" t="n">
        <f aca="false">I34-J34</f>
        <v>0</v>
      </c>
    </row>
    <row r="35" customFormat="false" ht="15" hidden="false" customHeight="false" outlineLevel="0" collapsed="false">
      <c r="A35" s="4" t="s">
        <v>39</v>
      </c>
      <c r="B35" s="4" t="s">
        <v>40</v>
      </c>
      <c r="C35" s="4" t="s">
        <v>5</v>
      </c>
      <c r="D35" s="4" t="s">
        <v>35</v>
      </c>
      <c r="E35" s="4" t="s">
        <v>36</v>
      </c>
      <c r="F35" s="4" t="n">
        <v>14</v>
      </c>
      <c r="G35" s="4" t="s">
        <v>199</v>
      </c>
      <c r="H35" s="4" t="s">
        <v>200</v>
      </c>
      <c r="I35" s="4" t="n">
        <v>5</v>
      </c>
      <c r="J35" s="4" t="n">
        <v>5</v>
      </c>
      <c r="K35" s="4" t="n">
        <f aca="false">I35-J35</f>
        <v>0</v>
      </c>
    </row>
    <row r="36" customFormat="false" ht="15" hidden="false" customHeight="false" outlineLevel="0" collapsed="false">
      <c r="A36" s="4" t="s">
        <v>41</v>
      </c>
      <c r="B36" s="4" t="s">
        <v>42</v>
      </c>
      <c r="C36" s="4" t="s">
        <v>5</v>
      </c>
      <c r="D36" s="4" t="s">
        <v>35</v>
      </c>
      <c r="E36" s="4" t="s">
        <v>36</v>
      </c>
      <c r="F36" s="4" t="n">
        <v>1</v>
      </c>
      <c r="G36" s="4" t="s">
        <v>191</v>
      </c>
      <c r="H36" s="4" t="s">
        <v>192</v>
      </c>
      <c r="I36" s="4" t="n">
        <v>3</v>
      </c>
      <c r="J36" s="4" t="n">
        <v>4</v>
      </c>
      <c r="K36" s="4" t="n">
        <f aca="false">I36-J36</f>
        <v>-1</v>
      </c>
    </row>
    <row r="37" customFormat="false" ht="15" hidden="false" customHeight="false" outlineLevel="0" collapsed="false">
      <c r="A37" s="4" t="s">
        <v>41</v>
      </c>
      <c r="B37" s="4" t="s">
        <v>42</v>
      </c>
      <c r="C37" s="4" t="s">
        <v>5</v>
      </c>
      <c r="D37" s="4" t="s">
        <v>35</v>
      </c>
      <c r="E37" s="4" t="s">
        <v>36</v>
      </c>
      <c r="F37" s="4" t="n">
        <v>2</v>
      </c>
      <c r="G37" s="4" t="s">
        <v>193</v>
      </c>
      <c r="H37" s="4" t="s">
        <v>192</v>
      </c>
      <c r="I37" s="4" t="n">
        <v>5</v>
      </c>
      <c r="J37" s="4" t="n">
        <v>5</v>
      </c>
      <c r="K37" s="4" t="n">
        <f aca="false">I37-J37</f>
        <v>0</v>
      </c>
    </row>
    <row r="38" customFormat="false" ht="15" hidden="false" customHeight="false" outlineLevel="0" collapsed="false">
      <c r="A38" s="4" t="s">
        <v>41</v>
      </c>
      <c r="B38" s="4" t="s">
        <v>42</v>
      </c>
      <c r="C38" s="4" t="s">
        <v>5</v>
      </c>
      <c r="D38" s="4" t="s">
        <v>35</v>
      </c>
      <c r="E38" s="4" t="s">
        <v>36</v>
      </c>
      <c r="F38" s="4" t="n">
        <v>3</v>
      </c>
      <c r="G38" s="4" t="s">
        <v>194</v>
      </c>
      <c r="H38" s="4" t="s">
        <v>192</v>
      </c>
      <c r="I38" s="4" t="n">
        <v>4</v>
      </c>
      <c r="J38" s="4" t="n">
        <v>4</v>
      </c>
      <c r="K38" s="4" t="n">
        <f aca="false">I38-J38</f>
        <v>0</v>
      </c>
    </row>
    <row r="39" customFormat="false" ht="15" hidden="false" customHeight="false" outlineLevel="0" collapsed="false">
      <c r="A39" s="4" t="s">
        <v>41</v>
      </c>
      <c r="B39" s="4" t="s">
        <v>42</v>
      </c>
      <c r="C39" s="4" t="s">
        <v>5</v>
      </c>
      <c r="D39" s="4" t="s">
        <v>35</v>
      </c>
      <c r="E39" s="4" t="s">
        <v>36</v>
      </c>
      <c r="F39" s="4" t="n">
        <v>5</v>
      </c>
      <c r="G39" s="4" t="s">
        <v>201</v>
      </c>
      <c r="H39" s="4" t="s">
        <v>202</v>
      </c>
      <c r="I39" s="4" t="n">
        <v>5</v>
      </c>
      <c r="J39" s="4" t="n">
        <v>5</v>
      </c>
      <c r="K39" s="4" t="n">
        <f aca="false">I39-J39</f>
        <v>0</v>
      </c>
    </row>
    <row r="40" customFormat="false" ht="15" hidden="false" customHeight="false" outlineLevel="0" collapsed="false">
      <c r="A40" s="4" t="s">
        <v>41</v>
      </c>
      <c r="B40" s="4" t="s">
        <v>42</v>
      </c>
      <c r="C40" s="4" t="s">
        <v>5</v>
      </c>
      <c r="D40" s="4" t="s">
        <v>35</v>
      </c>
      <c r="E40" s="4" t="s">
        <v>36</v>
      </c>
      <c r="F40" s="4" t="n">
        <v>6</v>
      </c>
      <c r="G40" s="4" t="s">
        <v>203</v>
      </c>
      <c r="H40" s="4" t="s">
        <v>202</v>
      </c>
      <c r="I40" s="4" t="n">
        <v>5</v>
      </c>
      <c r="J40" s="4" t="n">
        <v>5</v>
      </c>
      <c r="K40" s="4" t="n">
        <f aca="false">I40-J40</f>
        <v>0</v>
      </c>
    </row>
    <row r="41" customFormat="false" ht="15" hidden="false" customHeight="false" outlineLevel="0" collapsed="false">
      <c r="A41" s="4" t="s">
        <v>41</v>
      </c>
      <c r="B41" s="4" t="s">
        <v>42</v>
      </c>
      <c r="C41" s="4" t="s">
        <v>5</v>
      </c>
      <c r="D41" s="4" t="s">
        <v>35</v>
      </c>
      <c r="E41" s="4" t="s">
        <v>36</v>
      </c>
      <c r="F41" s="4" t="n">
        <v>7</v>
      </c>
      <c r="G41" s="4" t="s">
        <v>204</v>
      </c>
      <c r="H41" s="4" t="s">
        <v>205</v>
      </c>
      <c r="I41" s="4" t="n">
        <v>5</v>
      </c>
      <c r="J41" s="4" t="n">
        <v>5</v>
      </c>
      <c r="K41" s="4" t="n">
        <f aca="false">I41-J41</f>
        <v>0</v>
      </c>
    </row>
    <row r="42" customFormat="false" ht="15" hidden="false" customHeight="false" outlineLevel="0" collapsed="false">
      <c r="A42" s="4" t="s">
        <v>41</v>
      </c>
      <c r="B42" s="4" t="s">
        <v>42</v>
      </c>
      <c r="C42" s="4" t="s">
        <v>5</v>
      </c>
      <c r="D42" s="4" t="s">
        <v>35</v>
      </c>
      <c r="E42" s="4" t="s">
        <v>36</v>
      </c>
      <c r="F42" s="4" t="n">
        <v>8</v>
      </c>
      <c r="G42" s="4" t="s">
        <v>206</v>
      </c>
      <c r="H42" s="4" t="s">
        <v>205</v>
      </c>
      <c r="I42" s="4" t="n">
        <v>5</v>
      </c>
      <c r="J42" s="4" t="n">
        <v>5</v>
      </c>
      <c r="K42" s="4" t="n">
        <f aca="false">I42-J42</f>
        <v>0</v>
      </c>
    </row>
    <row r="43" customFormat="false" ht="15" hidden="false" customHeight="false" outlineLevel="0" collapsed="false">
      <c r="A43" s="4" t="s">
        <v>41</v>
      </c>
      <c r="B43" s="4" t="s">
        <v>42</v>
      </c>
      <c r="C43" s="4" t="s">
        <v>5</v>
      </c>
      <c r="D43" s="4" t="s">
        <v>35</v>
      </c>
      <c r="E43" s="4" t="s">
        <v>36</v>
      </c>
      <c r="F43" s="4" t="n">
        <v>9</v>
      </c>
      <c r="G43" s="4" t="s">
        <v>207</v>
      </c>
      <c r="H43" s="4" t="s">
        <v>208</v>
      </c>
      <c r="I43" s="4" t="n">
        <v>5</v>
      </c>
      <c r="J43" s="4" t="n">
        <v>5</v>
      </c>
      <c r="K43" s="4" t="n">
        <f aca="false">I43-J43</f>
        <v>0</v>
      </c>
    </row>
    <row r="44" customFormat="false" ht="15" hidden="false" customHeight="false" outlineLevel="0" collapsed="false">
      <c r="A44" s="4" t="s">
        <v>41</v>
      </c>
      <c r="B44" s="4" t="s">
        <v>42</v>
      </c>
      <c r="C44" s="4" t="s">
        <v>5</v>
      </c>
      <c r="D44" s="4" t="s">
        <v>35</v>
      </c>
      <c r="E44" s="4" t="s">
        <v>36</v>
      </c>
      <c r="F44" s="4" t="n">
        <v>10</v>
      </c>
      <c r="G44" s="4" t="s">
        <v>209</v>
      </c>
      <c r="H44" s="4" t="s">
        <v>208</v>
      </c>
      <c r="I44" s="4" t="n">
        <v>5</v>
      </c>
      <c r="J44" s="4" t="n">
        <v>5</v>
      </c>
      <c r="K44" s="4" t="n">
        <f aca="false">I44-J44</f>
        <v>0</v>
      </c>
    </row>
    <row r="45" customFormat="false" ht="15" hidden="false" customHeight="false" outlineLevel="0" collapsed="false">
      <c r="A45" s="4" t="s">
        <v>41</v>
      </c>
      <c r="B45" s="4" t="s">
        <v>42</v>
      </c>
      <c r="C45" s="4" t="s">
        <v>5</v>
      </c>
      <c r="D45" s="4" t="s">
        <v>35</v>
      </c>
      <c r="E45" s="4" t="s">
        <v>36</v>
      </c>
      <c r="F45" s="4" t="n">
        <v>14</v>
      </c>
      <c r="G45" s="4" t="s">
        <v>199</v>
      </c>
      <c r="H45" s="4" t="s">
        <v>200</v>
      </c>
      <c r="I45" s="4" t="n">
        <v>5</v>
      </c>
      <c r="J45" s="4" t="n">
        <v>5</v>
      </c>
      <c r="K45" s="4" t="n">
        <f aca="false">I45-J45</f>
        <v>0</v>
      </c>
    </row>
    <row r="46" customFormat="false" ht="15" hidden="false" customHeight="false" outlineLevel="0" collapsed="false">
      <c r="A46" s="4" t="s">
        <v>43</v>
      </c>
      <c r="B46" s="4" t="s">
        <v>44</v>
      </c>
      <c r="C46" s="4" t="s">
        <v>5</v>
      </c>
      <c r="D46" s="4" t="s">
        <v>35</v>
      </c>
      <c r="E46" s="4" t="s">
        <v>36</v>
      </c>
      <c r="F46" s="4" t="n">
        <v>1</v>
      </c>
      <c r="G46" s="4" t="s">
        <v>191</v>
      </c>
      <c r="H46" s="4" t="s">
        <v>192</v>
      </c>
      <c r="I46" s="4" t="n">
        <v>4</v>
      </c>
      <c r="J46" s="4" t="n">
        <v>3</v>
      </c>
      <c r="K46" s="4" t="n">
        <f aca="false">I46-J46</f>
        <v>1</v>
      </c>
    </row>
    <row r="47" customFormat="false" ht="15" hidden="false" customHeight="false" outlineLevel="0" collapsed="false">
      <c r="A47" s="4" t="s">
        <v>43</v>
      </c>
      <c r="B47" s="4" t="s">
        <v>44</v>
      </c>
      <c r="C47" s="4" t="s">
        <v>5</v>
      </c>
      <c r="D47" s="4" t="s">
        <v>35</v>
      </c>
      <c r="E47" s="4" t="s">
        <v>36</v>
      </c>
      <c r="F47" s="4" t="n">
        <v>2</v>
      </c>
      <c r="G47" s="4" t="s">
        <v>193</v>
      </c>
      <c r="H47" s="4" t="s">
        <v>192</v>
      </c>
      <c r="I47" s="4" t="n">
        <v>4</v>
      </c>
      <c r="J47" s="4" t="n">
        <v>5</v>
      </c>
      <c r="K47" s="4" t="n">
        <f aca="false">I47-J47</f>
        <v>-1</v>
      </c>
    </row>
    <row r="48" customFormat="false" ht="15" hidden="false" customHeight="false" outlineLevel="0" collapsed="false">
      <c r="A48" s="4" t="s">
        <v>43</v>
      </c>
      <c r="B48" s="4" t="s">
        <v>44</v>
      </c>
      <c r="C48" s="4" t="s">
        <v>5</v>
      </c>
      <c r="D48" s="4" t="s">
        <v>35</v>
      </c>
      <c r="E48" s="4" t="s">
        <v>36</v>
      </c>
      <c r="F48" s="4" t="n">
        <v>3</v>
      </c>
      <c r="G48" s="4" t="s">
        <v>194</v>
      </c>
      <c r="H48" s="4" t="s">
        <v>192</v>
      </c>
      <c r="I48" s="4" t="n">
        <v>3</v>
      </c>
      <c r="J48" s="4" t="n">
        <v>2</v>
      </c>
      <c r="K48" s="4" t="n">
        <f aca="false">I48-J48</f>
        <v>1</v>
      </c>
    </row>
    <row r="49" customFormat="false" ht="15" hidden="false" customHeight="false" outlineLevel="0" collapsed="false">
      <c r="A49" s="4" t="s">
        <v>43</v>
      </c>
      <c r="B49" s="4" t="s">
        <v>44</v>
      </c>
      <c r="C49" s="4" t="s">
        <v>5</v>
      </c>
      <c r="D49" s="4" t="s">
        <v>35</v>
      </c>
      <c r="E49" s="4" t="s">
        <v>36</v>
      </c>
      <c r="F49" s="4" t="n">
        <v>5</v>
      </c>
      <c r="G49" s="4" t="s">
        <v>201</v>
      </c>
      <c r="H49" s="4" t="s">
        <v>202</v>
      </c>
      <c r="I49" s="4" t="n">
        <v>4</v>
      </c>
      <c r="J49" s="4" t="n">
        <v>4</v>
      </c>
      <c r="K49" s="4" t="n">
        <f aca="false">I49-J49</f>
        <v>0</v>
      </c>
    </row>
    <row r="50" customFormat="false" ht="15" hidden="false" customHeight="false" outlineLevel="0" collapsed="false">
      <c r="A50" s="4" t="s">
        <v>43</v>
      </c>
      <c r="B50" s="4" t="s">
        <v>44</v>
      </c>
      <c r="C50" s="4" t="s">
        <v>5</v>
      </c>
      <c r="D50" s="4" t="s">
        <v>35</v>
      </c>
      <c r="E50" s="4" t="s">
        <v>36</v>
      </c>
      <c r="F50" s="4" t="n">
        <v>6</v>
      </c>
      <c r="G50" s="4" t="s">
        <v>203</v>
      </c>
      <c r="H50" s="4" t="s">
        <v>202</v>
      </c>
      <c r="I50" s="4" t="n">
        <v>4</v>
      </c>
      <c r="J50" s="4" t="n">
        <v>4</v>
      </c>
      <c r="K50" s="4" t="n">
        <f aca="false">I50-J50</f>
        <v>0</v>
      </c>
    </row>
    <row r="51" customFormat="false" ht="15" hidden="false" customHeight="false" outlineLevel="0" collapsed="false">
      <c r="A51" s="4" t="s">
        <v>43</v>
      </c>
      <c r="B51" s="4" t="s">
        <v>44</v>
      </c>
      <c r="C51" s="4" t="s">
        <v>5</v>
      </c>
      <c r="D51" s="4" t="s">
        <v>35</v>
      </c>
      <c r="E51" s="4" t="s">
        <v>36</v>
      </c>
      <c r="F51" s="4" t="n">
        <v>7</v>
      </c>
      <c r="G51" s="4" t="s">
        <v>204</v>
      </c>
      <c r="H51" s="4" t="s">
        <v>205</v>
      </c>
      <c r="I51" s="4" t="n">
        <v>4</v>
      </c>
      <c r="J51" s="4" t="n">
        <v>3</v>
      </c>
      <c r="K51" s="4" t="n">
        <f aca="false">I51-J51</f>
        <v>1</v>
      </c>
    </row>
    <row r="52" customFormat="false" ht="15" hidden="false" customHeight="false" outlineLevel="0" collapsed="false">
      <c r="A52" s="4" t="s">
        <v>43</v>
      </c>
      <c r="B52" s="4" t="s">
        <v>44</v>
      </c>
      <c r="C52" s="4" t="s">
        <v>5</v>
      </c>
      <c r="D52" s="4" t="s">
        <v>35</v>
      </c>
      <c r="E52" s="4" t="s">
        <v>36</v>
      </c>
      <c r="F52" s="4" t="n">
        <v>8</v>
      </c>
      <c r="G52" s="4" t="s">
        <v>206</v>
      </c>
      <c r="H52" s="4" t="s">
        <v>205</v>
      </c>
      <c r="I52" s="4" t="n">
        <v>4</v>
      </c>
      <c r="J52" s="4" t="n">
        <v>4</v>
      </c>
      <c r="K52" s="4" t="n">
        <f aca="false">I52-J52</f>
        <v>0</v>
      </c>
    </row>
    <row r="53" customFormat="false" ht="15" hidden="false" customHeight="false" outlineLevel="0" collapsed="false">
      <c r="A53" s="4" t="s">
        <v>43</v>
      </c>
      <c r="B53" s="4" t="s">
        <v>44</v>
      </c>
      <c r="C53" s="4" t="s">
        <v>5</v>
      </c>
      <c r="D53" s="4" t="s">
        <v>35</v>
      </c>
      <c r="E53" s="4" t="s">
        <v>36</v>
      </c>
      <c r="F53" s="4" t="n">
        <v>9</v>
      </c>
      <c r="G53" s="4" t="s">
        <v>207</v>
      </c>
      <c r="H53" s="4" t="s">
        <v>208</v>
      </c>
      <c r="I53" s="4" t="n">
        <v>4</v>
      </c>
      <c r="J53" s="4" t="n">
        <v>4</v>
      </c>
      <c r="K53" s="4" t="n">
        <f aca="false">I53-J53</f>
        <v>0</v>
      </c>
    </row>
    <row r="54" customFormat="false" ht="15" hidden="false" customHeight="false" outlineLevel="0" collapsed="false">
      <c r="A54" s="4" t="s">
        <v>43</v>
      </c>
      <c r="B54" s="4" t="s">
        <v>44</v>
      </c>
      <c r="C54" s="4" t="s">
        <v>5</v>
      </c>
      <c r="D54" s="4" t="s">
        <v>35</v>
      </c>
      <c r="E54" s="4" t="s">
        <v>36</v>
      </c>
      <c r="F54" s="4" t="n">
        <v>10</v>
      </c>
      <c r="G54" s="4" t="s">
        <v>209</v>
      </c>
      <c r="H54" s="4" t="s">
        <v>208</v>
      </c>
      <c r="I54" s="4" t="n">
        <v>3</v>
      </c>
      <c r="J54" s="4" t="n">
        <v>3</v>
      </c>
      <c r="K54" s="4" t="n">
        <f aca="false">I54-J54</f>
        <v>0</v>
      </c>
    </row>
    <row r="55" customFormat="false" ht="15" hidden="false" customHeight="false" outlineLevel="0" collapsed="false">
      <c r="A55" s="4" t="s">
        <v>43</v>
      </c>
      <c r="B55" s="4" t="s">
        <v>44</v>
      </c>
      <c r="C55" s="4" t="s">
        <v>5</v>
      </c>
      <c r="D55" s="4" t="s">
        <v>35</v>
      </c>
      <c r="E55" s="4" t="s">
        <v>36</v>
      </c>
      <c r="F55" s="4" t="n">
        <v>14</v>
      </c>
      <c r="G55" s="4" t="s">
        <v>199</v>
      </c>
      <c r="H55" s="4" t="s">
        <v>200</v>
      </c>
      <c r="I55" s="4" t="n">
        <v>3</v>
      </c>
      <c r="J55" s="4" t="n">
        <v>3</v>
      </c>
      <c r="K55" s="4" t="n">
        <f aca="false">I55-J55</f>
        <v>0</v>
      </c>
    </row>
    <row r="56" customFormat="false" ht="15" hidden="false" customHeight="false" outlineLevel="0" collapsed="false">
      <c r="A56" s="4" t="s">
        <v>45</v>
      </c>
      <c r="B56" s="4" t="s">
        <v>46</v>
      </c>
      <c r="C56" s="4" t="s">
        <v>7</v>
      </c>
      <c r="D56" s="4" t="s">
        <v>47</v>
      </c>
      <c r="E56" s="4" t="s">
        <v>36</v>
      </c>
      <c r="F56" s="4" t="n">
        <v>1</v>
      </c>
      <c r="G56" s="4" t="s">
        <v>191</v>
      </c>
      <c r="H56" s="4" t="s">
        <v>192</v>
      </c>
      <c r="I56" s="4" t="n">
        <v>3</v>
      </c>
      <c r="J56" s="4" t="n">
        <v>4</v>
      </c>
      <c r="K56" s="4" t="n">
        <f aca="false">I56-J56</f>
        <v>-1</v>
      </c>
    </row>
    <row r="57" customFormat="false" ht="15" hidden="false" customHeight="false" outlineLevel="0" collapsed="false">
      <c r="A57" s="4" t="s">
        <v>45</v>
      </c>
      <c r="B57" s="4" t="s">
        <v>46</v>
      </c>
      <c r="C57" s="4" t="s">
        <v>7</v>
      </c>
      <c r="D57" s="4" t="s">
        <v>47</v>
      </c>
      <c r="E57" s="4" t="s">
        <v>36</v>
      </c>
      <c r="F57" s="4" t="n">
        <v>2</v>
      </c>
      <c r="G57" s="4" t="s">
        <v>193</v>
      </c>
      <c r="H57" s="4" t="s">
        <v>192</v>
      </c>
      <c r="I57" s="4" t="n">
        <v>5</v>
      </c>
      <c r="J57" s="4" t="n">
        <v>5</v>
      </c>
      <c r="K57" s="4" t="n">
        <f aca="false">I57-J57</f>
        <v>0</v>
      </c>
    </row>
    <row r="58" customFormat="false" ht="15" hidden="false" customHeight="false" outlineLevel="0" collapsed="false">
      <c r="A58" s="4" t="s">
        <v>45</v>
      </c>
      <c r="B58" s="4" t="s">
        <v>46</v>
      </c>
      <c r="C58" s="4" t="s">
        <v>7</v>
      </c>
      <c r="D58" s="4" t="s">
        <v>47</v>
      </c>
      <c r="E58" s="4" t="s">
        <v>36</v>
      </c>
      <c r="F58" s="4" t="n">
        <v>3</v>
      </c>
      <c r="G58" s="4" t="s">
        <v>194</v>
      </c>
      <c r="H58" s="4" t="s">
        <v>192</v>
      </c>
      <c r="I58" s="4" t="n">
        <v>5</v>
      </c>
      <c r="J58" s="4" t="n">
        <v>4</v>
      </c>
      <c r="K58" s="4" t="n">
        <f aca="false">I58-J58</f>
        <v>1</v>
      </c>
    </row>
    <row r="59" customFormat="false" ht="15" hidden="false" customHeight="false" outlineLevel="0" collapsed="false">
      <c r="A59" s="4" t="s">
        <v>45</v>
      </c>
      <c r="B59" s="4" t="s">
        <v>46</v>
      </c>
      <c r="C59" s="4" t="s">
        <v>7</v>
      </c>
      <c r="D59" s="4" t="s">
        <v>47</v>
      </c>
      <c r="E59" s="4" t="s">
        <v>36</v>
      </c>
      <c r="F59" s="4" t="n">
        <v>11</v>
      </c>
      <c r="G59" s="4" t="s">
        <v>195</v>
      </c>
      <c r="H59" s="4" t="s">
        <v>196</v>
      </c>
      <c r="I59" s="4" t="n">
        <v>5</v>
      </c>
      <c r="J59" s="4" t="n">
        <v>4</v>
      </c>
      <c r="K59" s="4" t="n">
        <f aca="false">I59-J59</f>
        <v>1</v>
      </c>
    </row>
    <row r="60" customFormat="false" ht="15" hidden="false" customHeight="false" outlineLevel="0" collapsed="false">
      <c r="A60" s="4" t="s">
        <v>45</v>
      </c>
      <c r="B60" s="4" t="s">
        <v>46</v>
      </c>
      <c r="C60" s="4" t="s">
        <v>7</v>
      </c>
      <c r="D60" s="4" t="s">
        <v>47</v>
      </c>
      <c r="E60" s="4" t="s">
        <v>36</v>
      </c>
      <c r="F60" s="4" t="n">
        <v>12</v>
      </c>
      <c r="G60" s="4" t="s">
        <v>197</v>
      </c>
      <c r="H60" s="4" t="s">
        <v>196</v>
      </c>
      <c r="I60" s="4" t="n">
        <v>4</v>
      </c>
      <c r="J60" s="4" t="n">
        <v>4</v>
      </c>
      <c r="K60" s="4" t="n">
        <f aca="false">I60-J60</f>
        <v>0</v>
      </c>
    </row>
    <row r="61" customFormat="false" ht="15" hidden="false" customHeight="false" outlineLevel="0" collapsed="false">
      <c r="A61" s="4" t="s">
        <v>45</v>
      </c>
      <c r="B61" s="4" t="s">
        <v>46</v>
      </c>
      <c r="C61" s="4" t="s">
        <v>7</v>
      </c>
      <c r="D61" s="4" t="s">
        <v>47</v>
      </c>
      <c r="E61" s="4" t="s">
        <v>36</v>
      </c>
      <c r="F61" s="4" t="n">
        <v>13</v>
      </c>
      <c r="G61" s="4" t="s">
        <v>198</v>
      </c>
      <c r="H61" s="4" t="s">
        <v>196</v>
      </c>
      <c r="I61" s="4" t="n">
        <v>5</v>
      </c>
      <c r="J61" s="4" t="n">
        <v>4</v>
      </c>
      <c r="K61" s="4" t="n">
        <f aca="false">I61-J61</f>
        <v>1</v>
      </c>
    </row>
    <row r="62" customFormat="false" ht="15" hidden="false" customHeight="false" outlineLevel="0" collapsed="false">
      <c r="A62" s="4" t="s">
        <v>45</v>
      </c>
      <c r="B62" s="4" t="s">
        <v>46</v>
      </c>
      <c r="C62" s="4" t="s">
        <v>7</v>
      </c>
      <c r="D62" s="4" t="s">
        <v>47</v>
      </c>
      <c r="E62" s="4" t="s">
        <v>36</v>
      </c>
      <c r="F62" s="4" t="n">
        <v>14</v>
      </c>
      <c r="G62" s="4" t="s">
        <v>199</v>
      </c>
      <c r="H62" s="4" t="s">
        <v>200</v>
      </c>
      <c r="I62" s="4" t="n">
        <v>5</v>
      </c>
      <c r="J62" s="4" t="n">
        <v>4</v>
      </c>
      <c r="K62" s="4" t="n">
        <f aca="false">I62-J62</f>
        <v>1</v>
      </c>
    </row>
    <row r="63" customFormat="false" ht="15" hidden="false" customHeight="false" outlineLevel="0" collapsed="false">
      <c r="A63" s="4" t="s">
        <v>48</v>
      </c>
      <c r="B63" s="4" t="s">
        <v>49</v>
      </c>
      <c r="C63" s="4" t="s">
        <v>5</v>
      </c>
      <c r="D63" s="4" t="s">
        <v>47</v>
      </c>
      <c r="E63" s="4" t="s">
        <v>36</v>
      </c>
      <c r="F63" s="4" t="n">
        <v>1</v>
      </c>
      <c r="G63" s="4" t="s">
        <v>191</v>
      </c>
      <c r="H63" s="4" t="s">
        <v>192</v>
      </c>
      <c r="I63" s="4" t="n">
        <v>5</v>
      </c>
      <c r="J63" s="4" t="n">
        <v>4</v>
      </c>
      <c r="K63" s="4" t="n">
        <f aca="false">I63-J63</f>
        <v>1</v>
      </c>
    </row>
    <row r="64" customFormat="false" ht="15" hidden="false" customHeight="false" outlineLevel="0" collapsed="false">
      <c r="A64" s="4" t="s">
        <v>48</v>
      </c>
      <c r="B64" s="4" t="s">
        <v>49</v>
      </c>
      <c r="C64" s="4" t="s">
        <v>5</v>
      </c>
      <c r="D64" s="4" t="s">
        <v>47</v>
      </c>
      <c r="E64" s="4" t="s">
        <v>36</v>
      </c>
      <c r="F64" s="4" t="n">
        <v>2</v>
      </c>
      <c r="G64" s="4" t="s">
        <v>193</v>
      </c>
      <c r="H64" s="4" t="s">
        <v>192</v>
      </c>
      <c r="I64" s="4" t="n">
        <v>4</v>
      </c>
      <c r="J64" s="4" t="n">
        <v>4</v>
      </c>
      <c r="K64" s="4" t="n">
        <f aca="false">I64-J64</f>
        <v>0</v>
      </c>
    </row>
    <row r="65" customFormat="false" ht="15" hidden="false" customHeight="false" outlineLevel="0" collapsed="false">
      <c r="A65" s="4" t="s">
        <v>48</v>
      </c>
      <c r="B65" s="4" t="s">
        <v>49</v>
      </c>
      <c r="C65" s="4" t="s">
        <v>5</v>
      </c>
      <c r="D65" s="4" t="s">
        <v>47</v>
      </c>
      <c r="E65" s="4" t="s">
        <v>36</v>
      </c>
      <c r="F65" s="4" t="n">
        <v>3</v>
      </c>
      <c r="G65" s="4" t="s">
        <v>194</v>
      </c>
      <c r="H65" s="4" t="s">
        <v>192</v>
      </c>
      <c r="I65" s="4" t="n">
        <v>5</v>
      </c>
      <c r="J65" s="4" t="n">
        <v>5</v>
      </c>
      <c r="K65" s="4" t="n">
        <f aca="false">I65-J65</f>
        <v>0</v>
      </c>
    </row>
    <row r="66" customFormat="false" ht="15" hidden="false" customHeight="false" outlineLevel="0" collapsed="false">
      <c r="A66" s="4" t="s">
        <v>48</v>
      </c>
      <c r="B66" s="4" t="s">
        <v>49</v>
      </c>
      <c r="C66" s="4" t="s">
        <v>5</v>
      </c>
      <c r="D66" s="4" t="s">
        <v>47</v>
      </c>
      <c r="E66" s="4" t="s">
        <v>36</v>
      </c>
      <c r="F66" s="4" t="n">
        <v>5</v>
      </c>
      <c r="G66" s="4" t="s">
        <v>201</v>
      </c>
      <c r="H66" s="4" t="s">
        <v>202</v>
      </c>
      <c r="I66" s="4" t="n">
        <v>5</v>
      </c>
      <c r="J66" s="4" t="n">
        <v>5</v>
      </c>
      <c r="K66" s="4" t="n">
        <f aca="false">I66-J66</f>
        <v>0</v>
      </c>
    </row>
    <row r="67" customFormat="false" ht="15" hidden="false" customHeight="false" outlineLevel="0" collapsed="false">
      <c r="A67" s="4" t="s">
        <v>48</v>
      </c>
      <c r="B67" s="4" t="s">
        <v>49</v>
      </c>
      <c r="C67" s="4" t="s">
        <v>5</v>
      </c>
      <c r="D67" s="4" t="s">
        <v>47</v>
      </c>
      <c r="E67" s="4" t="s">
        <v>36</v>
      </c>
      <c r="F67" s="4" t="n">
        <v>6</v>
      </c>
      <c r="G67" s="4" t="s">
        <v>203</v>
      </c>
      <c r="H67" s="4" t="s">
        <v>202</v>
      </c>
      <c r="I67" s="4" t="n">
        <v>5</v>
      </c>
      <c r="J67" s="4" t="n">
        <v>5</v>
      </c>
      <c r="K67" s="4" t="n">
        <f aca="false">I67-J67</f>
        <v>0</v>
      </c>
    </row>
    <row r="68" customFormat="false" ht="15" hidden="false" customHeight="false" outlineLevel="0" collapsed="false">
      <c r="A68" s="4" t="s">
        <v>48</v>
      </c>
      <c r="B68" s="4" t="s">
        <v>49</v>
      </c>
      <c r="C68" s="4" t="s">
        <v>5</v>
      </c>
      <c r="D68" s="4" t="s">
        <v>47</v>
      </c>
      <c r="E68" s="4" t="s">
        <v>36</v>
      </c>
      <c r="F68" s="4" t="n">
        <v>7</v>
      </c>
      <c r="G68" s="4" t="s">
        <v>204</v>
      </c>
      <c r="H68" s="4" t="s">
        <v>205</v>
      </c>
      <c r="I68" s="4" t="n">
        <v>4</v>
      </c>
      <c r="J68" s="4" t="n">
        <v>4</v>
      </c>
      <c r="K68" s="4" t="n">
        <f aca="false">I68-J68</f>
        <v>0</v>
      </c>
    </row>
    <row r="69" customFormat="false" ht="15" hidden="false" customHeight="false" outlineLevel="0" collapsed="false">
      <c r="A69" s="4" t="s">
        <v>48</v>
      </c>
      <c r="B69" s="4" t="s">
        <v>49</v>
      </c>
      <c r="C69" s="4" t="s">
        <v>5</v>
      </c>
      <c r="D69" s="4" t="s">
        <v>47</v>
      </c>
      <c r="E69" s="4" t="s">
        <v>36</v>
      </c>
      <c r="F69" s="4" t="n">
        <v>8</v>
      </c>
      <c r="G69" s="4" t="s">
        <v>206</v>
      </c>
      <c r="H69" s="4" t="s">
        <v>205</v>
      </c>
      <c r="I69" s="4" t="n">
        <v>5</v>
      </c>
      <c r="J69" s="4" t="n">
        <v>5</v>
      </c>
      <c r="K69" s="4" t="n">
        <f aca="false">I69-J69</f>
        <v>0</v>
      </c>
    </row>
    <row r="70" customFormat="false" ht="15" hidden="false" customHeight="false" outlineLevel="0" collapsed="false">
      <c r="A70" s="4" t="s">
        <v>48</v>
      </c>
      <c r="B70" s="4" t="s">
        <v>49</v>
      </c>
      <c r="C70" s="4" t="s">
        <v>5</v>
      </c>
      <c r="D70" s="4" t="s">
        <v>47</v>
      </c>
      <c r="E70" s="4" t="s">
        <v>36</v>
      </c>
      <c r="F70" s="4" t="n">
        <v>9</v>
      </c>
      <c r="G70" s="4" t="s">
        <v>207</v>
      </c>
      <c r="H70" s="4" t="s">
        <v>208</v>
      </c>
      <c r="I70" s="4" t="n">
        <v>4</v>
      </c>
      <c r="J70" s="4" t="n">
        <v>4</v>
      </c>
      <c r="K70" s="4" t="n">
        <f aca="false">I70-J70</f>
        <v>0</v>
      </c>
    </row>
    <row r="71" customFormat="false" ht="15" hidden="false" customHeight="false" outlineLevel="0" collapsed="false">
      <c r="A71" s="4" t="s">
        <v>48</v>
      </c>
      <c r="B71" s="4" t="s">
        <v>49</v>
      </c>
      <c r="C71" s="4" t="s">
        <v>5</v>
      </c>
      <c r="D71" s="4" t="s">
        <v>47</v>
      </c>
      <c r="E71" s="4" t="s">
        <v>36</v>
      </c>
      <c r="F71" s="4" t="n">
        <v>10</v>
      </c>
      <c r="G71" s="4" t="s">
        <v>209</v>
      </c>
      <c r="H71" s="4" t="s">
        <v>208</v>
      </c>
      <c r="I71" s="4" t="n">
        <v>5</v>
      </c>
      <c r="J71" s="4" t="n">
        <v>4</v>
      </c>
      <c r="K71" s="4" t="n">
        <f aca="false">I71-J71</f>
        <v>1</v>
      </c>
    </row>
    <row r="72" customFormat="false" ht="15" hidden="false" customHeight="false" outlineLevel="0" collapsed="false">
      <c r="A72" s="4" t="s">
        <v>48</v>
      </c>
      <c r="B72" s="4" t="s">
        <v>49</v>
      </c>
      <c r="C72" s="4" t="s">
        <v>5</v>
      </c>
      <c r="D72" s="4" t="s">
        <v>47</v>
      </c>
      <c r="E72" s="4" t="s">
        <v>36</v>
      </c>
      <c r="F72" s="4" t="n">
        <v>14</v>
      </c>
      <c r="G72" s="4" t="s">
        <v>199</v>
      </c>
      <c r="H72" s="4" t="s">
        <v>200</v>
      </c>
      <c r="I72" s="4" t="n">
        <v>5</v>
      </c>
      <c r="J72" s="4" t="n">
        <v>5</v>
      </c>
      <c r="K72" s="4" t="n">
        <f aca="false">I72-J72</f>
        <v>0</v>
      </c>
    </row>
    <row r="73" customFormat="false" ht="15" hidden="false" customHeight="false" outlineLevel="0" collapsed="false">
      <c r="A73" s="4" t="s">
        <v>50</v>
      </c>
      <c r="B73" s="4" t="s">
        <v>51</v>
      </c>
      <c r="C73" s="4" t="s">
        <v>5</v>
      </c>
      <c r="D73" s="4" t="s">
        <v>47</v>
      </c>
      <c r="E73" s="4" t="s">
        <v>36</v>
      </c>
      <c r="F73" s="4" t="n">
        <v>1</v>
      </c>
      <c r="G73" s="4" t="s">
        <v>191</v>
      </c>
      <c r="H73" s="4" t="s">
        <v>192</v>
      </c>
      <c r="I73" s="4" t="n">
        <v>5</v>
      </c>
      <c r="J73" s="4" t="n">
        <v>4</v>
      </c>
      <c r="K73" s="4" t="n">
        <f aca="false">I73-J73</f>
        <v>1</v>
      </c>
    </row>
    <row r="74" customFormat="false" ht="15" hidden="false" customHeight="false" outlineLevel="0" collapsed="false">
      <c r="A74" s="4" t="s">
        <v>50</v>
      </c>
      <c r="B74" s="4" t="s">
        <v>51</v>
      </c>
      <c r="C74" s="4" t="s">
        <v>5</v>
      </c>
      <c r="D74" s="4" t="s">
        <v>47</v>
      </c>
      <c r="E74" s="4" t="s">
        <v>36</v>
      </c>
      <c r="F74" s="4" t="n">
        <v>2</v>
      </c>
      <c r="G74" s="4" t="s">
        <v>193</v>
      </c>
      <c r="H74" s="4" t="s">
        <v>192</v>
      </c>
      <c r="I74" s="4" t="n">
        <v>5</v>
      </c>
      <c r="J74" s="4" t="n">
        <v>5</v>
      </c>
      <c r="K74" s="4" t="n">
        <f aca="false">I74-J74</f>
        <v>0</v>
      </c>
    </row>
    <row r="75" customFormat="false" ht="15" hidden="false" customHeight="false" outlineLevel="0" collapsed="false">
      <c r="A75" s="4" t="s">
        <v>50</v>
      </c>
      <c r="B75" s="4" t="s">
        <v>51</v>
      </c>
      <c r="C75" s="4" t="s">
        <v>5</v>
      </c>
      <c r="D75" s="4" t="s">
        <v>47</v>
      </c>
      <c r="E75" s="4" t="s">
        <v>36</v>
      </c>
      <c r="F75" s="4" t="n">
        <v>3</v>
      </c>
      <c r="G75" s="4" t="s">
        <v>194</v>
      </c>
      <c r="H75" s="4" t="s">
        <v>192</v>
      </c>
      <c r="I75" s="4" t="n">
        <v>5</v>
      </c>
      <c r="J75" s="4" t="n">
        <v>5</v>
      </c>
      <c r="K75" s="4" t="n">
        <f aca="false">I75-J75</f>
        <v>0</v>
      </c>
    </row>
    <row r="76" customFormat="false" ht="15" hidden="false" customHeight="false" outlineLevel="0" collapsed="false">
      <c r="A76" s="4" t="s">
        <v>50</v>
      </c>
      <c r="B76" s="4" t="s">
        <v>51</v>
      </c>
      <c r="C76" s="4" t="s">
        <v>5</v>
      </c>
      <c r="D76" s="4" t="s">
        <v>47</v>
      </c>
      <c r="E76" s="4" t="s">
        <v>36</v>
      </c>
      <c r="F76" s="4" t="n">
        <v>5</v>
      </c>
      <c r="G76" s="4" t="s">
        <v>201</v>
      </c>
      <c r="H76" s="4" t="s">
        <v>202</v>
      </c>
      <c r="I76" s="4" t="n">
        <v>5</v>
      </c>
      <c r="J76" s="4" t="n">
        <v>4</v>
      </c>
      <c r="K76" s="4" t="n">
        <f aca="false">I76-J76</f>
        <v>1</v>
      </c>
    </row>
    <row r="77" customFormat="false" ht="15" hidden="false" customHeight="false" outlineLevel="0" collapsed="false">
      <c r="A77" s="4" t="s">
        <v>50</v>
      </c>
      <c r="B77" s="4" t="s">
        <v>51</v>
      </c>
      <c r="C77" s="4" t="s">
        <v>5</v>
      </c>
      <c r="D77" s="4" t="s">
        <v>47</v>
      </c>
      <c r="E77" s="4" t="s">
        <v>36</v>
      </c>
      <c r="F77" s="4" t="n">
        <v>6</v>
      </c>
      <c r="G77" s="4" t="s">
        <v>203</v>
      </c>
      <c r="H77" s="4" t="s">
        <v>202</v>
      </c>
      <c r="I77" s="4" t="n">
        <v>5</v>
      </c>
      <c r="J77" s="4" t="n">
        <v>4</v>
      </c>
      <c r="K77" s="4" t="n">
        <f aca="false">I77-J77</f>
        <v>1</v>
      </c>
    </row>
    <row r="78" customFormat="false" ht="15" hidden="false" customHeight="false" outlineLevel="0" collapsed="false">
      <c r="A78" s="4" t="s">
        <v>50</v>
      </c>
      <c r="B78" s="4" t="s">
        <v>51</v>
      </c>
      <c r="C78" s="4" t="s">
        <v>5</v>
      </c>
      <c r="D78" s="4" t="s">
        <v>47</v>
      </c>
      <c r="E78" s="4" t="s">
        <v>36</v>
      </c>
      <c r="F78" s="4" t="n">
        <v>7</v>
      </c>
      <c r="G78" s="4" t="s">
        <v>204</v>
      </c>
      <c r="H78" s="4" t="s">
        <v>205</v>
      </c>
      <c r="I78" s="4" t="n">
        <v>5</v>
      </c>
      <c r="J78" s="4" t="n">
        <v>4</v>
      </c>
      <c r="K78" s="4" t="n">
        <f aca="false">I78-J78</f>
        <v>1</v>
      </c>
    </row>
    <row r="79" customFormat="false" ht="15" hidden="false" customHeight="false" outlineLevel="0" collapsed="false">
      <c r="A79" s="4" t="s">
        <v>50</v>
      </c>
      <c r="B79" s="4" t="s">
        <v>51</v>
      </c>
      <c r="C79" s="4" t="s">
        <v>5</v>
      </c>
      <c r="D79" s="4" t="s">
        <v>47</v>
      </c>
      <c r="E79" s="4" t="s">
        <v>36</v>
      </c>
      <c r="F79" s="4" t="n">
        <v>8</v>
      </c>
      <c r="G79" s="4" t="s">
        <v>206</v>
      </c>
      <c r="H79" s="4" t="s">
        <v>205</v>
      </c>
      <c r="I79" s="4" t="n">
        <v>5</v>
      </c>
      <c r="J79" s="4" t="n">
        <v>5</v>
      </c>
      <c r="K79" s="4" t="n">
        <f aca="false">I79-J79</f>
        <v>0</v>
      </c>
    </row>
    <row r="80" customFormat="false" ht="15" hidden="false" customHeight="false" outlineLevel="0" collapsed="false">
      <c r="A80" s="4" t="s">
        <v>50</v>
      </c>
      <c r="B80" s="4" t="s">
        <v>51</v>
      </c>
      <c r="C80" s="4" t="s">
        <v>5</v>
      </c>
      <c r="D80" s="4" t="s">
        <v>47</v>
      </c>
      <c r="E80" s="4" t="s">
        <v>36</v>
      </c>
      <c r="F80" s="4" t="n">
        <v>9</v>
      </c>
      <c r="G80" s="4" t="s">
        <v>207</v>
      </c>
      <c r="H80" s="4" t="s">
        <v>208</v>
      </c>
      <c r="I80" s="4" t="n">
        <v>4</v>
      </c>
      <c r="J80" s="4" t="n">
        <v>4</v>
      </c>
      <c r="K80" s="4" t="n">
        <f aca="false">I80-J80</f>
        <v>0</v>
      </c>
    </row>
    <row r="81" customFormat="false" ht="15" hidden="false" customHeight="false" outlineLevel="0" collapsed="false">
      <c r="A81" s="4" t="s">
        <v>50</v>
      </c>
      <c r="B81" s="4" t="s">
        <v>51</v>
      </c>
      <c r="C81" s="4" t="s">
        <v>5</v>
      </c>
      <c r="D81" s="4" t="s">
        <v>47</v>
      </c>
      <c r="E81" s="4" t="s">
        <v>36</v>
      </c>
      <c r="F81" s="4" t="n">
        <v>10</v>
      </c>
      <c r="G81" s="4" t="s">
        <v>209</v>
      </c>
      <c r="H81" s="4" t="s">
        <v>208</v>
      </c>
      <c r="I81" s="4" t="n">
        <v>5</v>
      </c>
      <c r="J81" s="4" t="n">
        <v>4</v>
      </c>
      <c r="K81" s="4" t="n">
        <f aca="false">I81-J81</f>
        <v>1</v>
      </c>
    </row>
    <row r="82" customFormat="false" ht="15" hidden="false" customHeight="false" outlineLevel="0" collapsed="false">
      <c r="A82" s="4" t="s">
        <v>50</v>
      </c>
      <c r="B82" s="4" t="s">
        <v>51</v>
      </c>
      <c r="C82" s="4" t="s">
        <v>5</v>
      </c>
      <c r="D82" s="4" t="s">
        <v>47</v>
      </c>
      <c r="E82" s="4" t="s">
        <v>36</v>
      </c>
      <c r="F82" s="4" t="n">
        <v>14</v>
      </c>
      <c r="G82" s="4" t="s">
        <v>199</v>
      </c>
      <c r="H82" s="4" t="s">
        <v>200</v>
      </c>
      <c r="I82" s="4" t="n">
        <v>5</v>
      </c>
      <c r="J82" s="4" t="n">
        <v>4</v>
      </c>
      <c r="K82" s="4" t="n">
        <f aca="false">I82-J82</f>
        <v>1</v>
      </c>
    </row>
    <row r="83" customFormat="false" ht="15" hidden="false" customHeight="false" outlineLevel="0" collapsed="false">
      <c r="A83" s="4" t="s">
        <v>52</v>
      </c>
      <c r="B83" s="4" t="s">
        <v>53</v>
      </c>
      <c r="C83" s="4" t="s">
        <v>5</v>
      </c>
      <c r="D83" s="4" t="s">
        <v>47</v>
      </c>
      <c r="E83" s="4" t="s">
        <v>36</v>
      </c>
      <c r="F83" s="4" t="n">
        <v>1</v>
      </c>
      <c r="G83" s="4" t="s">
        <v>191</v>
      </c>
      <c r="H83" s="4" t="s">
        <v>192</v>
      </c>
      <c r="I83" s="4" t="n">
        <v>5</v>
      </c>
      <c r="J83" s="4" t="n">
        <v>4</v>
      </c>
      <c r="K83" s="4" t="n">
        <f aca="false">I83-J83</f>
        <v>1</v>
      </c>
    </row>
    <row r="84" customFormat="false" ht="15" hidden="false" customHeight="false" outlineLevel="0" collapsed="false">
      <c r="A84" s="4" t="s">
        <v>52</v>
      </c>
      <c r="B84" s="4" t="s">
        <v>53</v>
      </c>
      <c r="C84" s="4" t="s">
        <v>5</v>
      </c>
      <c r="D84" s="4" t="s">
        <v>47</v>
      </c>
      <c r="E84" s="4" t="s">
        <v>36</v>
      </c>
      <c r="F84" s="4" t="n">
        <v>2</v>
      </c>
      <c r="G84" s="4" t="s">
        <v>193</v>
      </c>
      <c r="H84" s="4" t="s">
        <v>192</v>
      </c>
      <c r="I84" s="4" t="n">
        <v>3</v>
      </c>
      <c r="J84" s="4" t="n">
        <v>3</v>
      </c>
      <c r="K84" s="4" t="n">
        <f aca="false">I84-J84</f>
        <v>0</v>
      </c>
    </row>
    <row r="85" customFormat="false" ht="15" hidden="false" customHeight="false" outlineLevel="0" collapsed="false">
      <c r="A85" s="4" t="s">
        <v>52</v>
      </c>
      <c r="B85" s="4" t="s">
        <v>53</v>
      </c>
      <c r="C85" s="4" t="s">
        <v>5</v>
      </c>
      <c r="D85" s="4" t="s">
        <v>47</v>
      </c>
      <c r="E85" s="4" t="s">
        <v>36</v>
      </c>
      <c r="F85" s="4" t="n">
        <v>3</v>
      </c>
      <c r="G85" s="4" t="s">
        <v>194</v>
      </c>
      <c r="H85" s="4" t="s">
        <v>192</v>
      </c>
      <c r="I85" s="4" t="n">
        <v>5</v>
      </c>
      <c r="J85" s="4" t="n">
        <v>4</v>
      </c>
      <c r="K85" s="4" t="n">
        <f aca="false">I85-J85</f>
        <v>1</v>
      </c>
    </row>
    <row r="86" customFormat="false" ht="15" hidden="false" customHeight="false" outlineLevel="0" collapsed="false">
      <c r="A86" s="4" t="s">
        <v>52</v>
      </c>
      <c r="B86" s="4" t="s">
        <v>53</v>
      </c>
      <c r="C86" s="4" t="s">
        <v>5</v>
      </c>
      <c r="D86" s="4" t="s">
        <v>47</v>
      </c>
      <c r="E86" s="4" t="s">
        <v>36</v>
      </c>
      <c r="F86" s="4" t="n">
        <v>5</v>
      </c>
      <c r="G86" s="4" t="s">
        <v>201</v>
      </c>
      <c r="H86" s="4" t="s">
        <v>202</v>
      </c>
      <c r="I86" s="4" t="n">
        <v>3</v>
      </c>
      <c r="J86" s="4" t="n">
        <v>4</v>
      </c>
      <c r="K86" s="4" t="n">
        <f aca="false">I86-J86</f>
        <v>-1</v>
      </c>
    </row>
    <row r="87" customFormat="false" ht="15" hidden="false" customHeight="false" outlineLevel="0" collapsed="false">
      <c r="A87" s="4" t="s">
        <v>52</v>
      </c>
      <c r="B87" s="4" t="s">
        <v>53</v>
      </c>
      <c r="C87" s="4" t="s">
        <v>5</v>
      </c>
      <c r="D87" s="4" t="s">
        <v>47</v>
      </c>
      <c r="E87" s="4" t="s">
        <v>36</v>
      </c>
      <c r="F87" s="4" t="n">
        <v>6</v>
      </c>
      <c r="G87" s="4" t="s">
        <v>203</v>
      </c>
      <c r="H87" s="4" t="s">
        <v>202</v>
      </c>
      <c r="I87" s="4" t="n">
        <v>5</v>
      </c>
      <c r="J87" s="4" t="n">
        <v>4</v>
      </c>
      <c r="K87" s="4" t="n">
        <f aca="false">I87-J87</f>
        <v>1</v>
      </c>
    </row>
    <row r="88" customFormat="false" ht="15" hidden="false" customHeight="false" outlineLevel="0" collapsed="false">
      <c r="A88" s="4" t="s">
        <v>52</v>
      </c>
      <c r="B88" s="4" t="s">
        <v>53</v>
      </c>
      <c r="C88" s="4" t="s">
        <v>5</v>
      </c>
      <c r="D88" s="4" t="s">
        <v>47</v>
      </c>
      <c r="E88" s="4" t="s">
        <v>36</v>
      </c>
      <c r="F88" s="4" t="n">
        <v>7</v>
      </c>
      <c r="G88" s="4" t="s">
        <v>204</v>
      </c>
      <c r="H88" s="4" t="s">
        <v>205</v>
      </c>
      <c r="I88" s="4" t="n">
        <v>5</v>
      </c>
      <c r="J88" s="4" t="n">
        <v>4</v>
      </c>
      <c r="K88" s="4" t="n">
        <f aca="false">I88-J88</f>
        <v>1</v>
      </c>
    </row>
    <row r="89" customFormat="false" ht="15" hidden="false" customHeight="false" outlineLevel="0" collapsed="false">
      <c r="A89" s="4" t="s">
        <v>52</v>
      </c>
      <c r="B89" s="4" t="s">
        <v>53</v>
      </c>
      <c r="C89" s="4" t="s">
        <v>5</v>
      </c>
      <c r="D89" s="4" t="s">
        <v>47</v>
      </c>
      <c r="E89" s="4" t="s">
        <v>36</v>
      </c>
      <c r="F89" s="4" t="n">
        <v>8</v>
      </c>
      <c r="G89" s="4" t="s">
        <v>206</v>
      </c>
      <c r="H89" s="4" t="s">
        <v>205</v>
      </c>
      <c r="I89" s="4" t="n">
        <v>3</v>
      </c>
      <c r="J89" s="4" t="n">
        <v>4</v>
      </c>
      <c r="K89" s="4" t="n">
        <f aca="false">I89-J89</f>
        <v>-1</v>
      </c>
    </row>
    <row r="90" customFormat="false" ht="15" hidden="false" customHeight="false" outlineLevel="0" collapsed="false">
      <c r="A90" s="4" t="s">
        <v>52</v>
      </c>
      <c r="B90" s="4" t="s">
        <v>53</v>
      </c>
      <c r="C90" s="4" t="s">
        <v>5</v>
      </c>
      <c r="D90" s="4" t="s">
        <v>47</v>
      </c>
      <c r="E90" s="4" t="s">
        <v>36</v>
      </c>
      <c r="F90" s="4" t="n">
        <v>9</v>
      </c>
      <c r="G90" s="4" t="s">
        <v>207</v>
      </c>
      <c r="H90" s="4" t="s">
        <v>208</v>
      </c>
      <c r="I90" s="4" t="n">
        <v>4</v>
      </c>
      <c r="J90" s="4" t="n">
        <v>4</v>
      </c>
      <c r="K90" s="4" t="n">
        <f aca="false">I90-J90</f>
        <v>0</v>
      </c>
    </row>
    <row r="91" customFormat="false" ht="15" hidden="false" customHeight="false" outlineLevel="0" collapsed="false">
      <c r="A91" s="4" t="s">
        <v>52</v>
      </c>
      <c r="B91" s="4" t="s">
        <v>53</v>
      </c>
      <c r="C91" s="4" t="s">
        <v>5</v>
      </c>
      <c r="D91" s="4" t="s">
        <v>47</v>
      </c>
      <c r="E91" s="4" t="s">
        <v>36</v>
      </c>
      <c r="F91" s="4" t="n">
        <v>10</v>
      </c>
      <c r="G91" s="4" t="s">
        <v>209</v>
      </c>
      <c r="H91" s="4" t="s">
        <v>208</v>
      </c>
      <c r="I91" s="4" t="n">
        <v>4</v>
      </c>
      <c r="J91" s="4" t="n">
        <v>4</v>
      </c>
      <c r="K91" s="4" t="n">
        <f aca="false">I91-J91</f>
        <v>0</v>
      </c>
    </row>
    <row r="92" customFormat="false" ht="15" hidden="false" customHeight="false" outlineLevel="0" collapsed="false">
      <c r="A92" s="4" t="s">
        <v>52</v>
      </c>
      <c r="B92" s="4" t="s">
        <v>53</v>
      </c>
      <c r="C92" s="4" t="s">
        <v>5</v>
      </c>
      <c r="D92" s="4" t="s">
        <v>47</v>
      </c>
      <c r="E92" s="4" t="s">
        <v>36</v>
      </c>
      <c r="F92" s="4" t="n">
        <v>14</v>
      </c>
      <c r="G92" s="4" t="s">
        <v>199</v>
      </c>
      <c r="H92" s="4" t="s">
        <v>200</v>
      </c>
      <c r="I92" s="4" t="n">
        <v>5</v>
      </c>
      <c r="J92" s="4" t="n">
        <v>5</v>
      </c>
      <c r="K92" s="4" t="n">
        <f aca="false">I92-J92</f>
        <v>0</v>
      </c>
    </row>
    <row r="93" customFormat="false" ht="15" hidden="false" customHeight="false" outlineLevel="0" collapsed="false">
      <c r="A93" s="4" t="s">
        <v>54</v>
      </c>
      <c r="B93" s="4" t="s">
        <v>55</v>
      </c>
      <c r="C93" s="4" t="s">
        <v>5</v>
      </c>
      <c r="D93" s="4" t="s">
        <v>47</v>
      </c>
      <c r="E93" s="4" t="s">
        <v>36</v>
      </c>
      <c r="F93" s="4" t="n">
        <v>1</v>
      </c>
      <c r="G93" s="4" t="s">
        <v>191</v>
      </c>
      <c r="H93" s="4" t="s">
        <v>192</v>
      </c>
      <c r="I93" s="4" t="n">
        <v>5</v>
      </c>
      <c r="J93" s="4" t="n">
        <v>4</v>
      </c>
      <c r="K93" s="4" t="n">
        <f aca="false">I93-J93</f>
        <v>1</v>
      </c>
    </row>
    <row r="94" customFormat="false" ht="15" hidden="false" customHeight="false" outlineLevel="0" collapsed="false">
      <c r="A94" s="4" t="s">
        <v>54</v>
      </c>
      <c r="B94" s="4" t="s">
        <v>55</v>
      </c>
      <c r="C94" s="4" t="s">
        <v>5</v>
      </c>
      <c r="D94" s="4" t="s">
        <v>47</v>
      </c>
      <c r="E94" s="4" t="s">
        <v>36</v>
      </c>
      <c r="F94" s="4" t="n">
        <v>2</v>
      </c>
      <c r="G94" s="4" t="s">
        <v>193</v>
      </c>
      <c r="H94" s="4" t="s">
        <v>192</v>
      </c>
      <c r="I94" s="4" t="n">
        <v>5</v>
      </c>
      <c r="J94" s="4" t="n">
        <v>4</v>
      </c>
      <c r="K94" s="4" t="n">
        <f aca="false">I94-J94</f>
        <v>1</v>
      </c>
    </row>
    <row r="95" customFormat="false" ht="15" hidden="false" customHeight="false" outlineLevel="0" collapsed="false">
      <c r="A95" s="4" t="s">
        <v>54</v>
      </c>
      <c r="B95" s="4" t="s">
        <v>55</v>
      </c>
      <c r="C95" s="4" t="s">
        <v>5</v>
      </c>
      <c r="D95" s="4" t="s">
        <v>47</v>
      </c>
      <c r="E95" s="4" t="s">
        <v>36</v>
      </c>
      <c r="F95" s="4" t="n">
        <v>3</v>
      </c>
      <c r="G95" s="4" t="s">
        <v>194</v>
      </c>
      <c r="H95" s="4" t="s">
        <v>192</v>
      </c>
      <c r="I95" s="4" t="n">
        <v>5</v>
      </c>
      <c r="J95" s="4" t="n">
        <v>5</v>
      </c>
      <c r="K95" s="4" t="n">
        <f aca="false">I95-J95</f>
        <v>0</v>
      </c>
    </row>
    <row r="96" customFormat="false" ht="15" hidden="false" customHeight="false" outlineLevel="0" collapsed="false">
      <c r="A96" s="4" t="s">
        <v>54</v>
      </c>
      <c r="B96" s="4" t="s">
        <v>55</v>
      </c>
      <c r="C96" s="4" t="s">
        <v>5</v>
      </c>
      <c r="D96" s="4" t="s">
        <v>47</v>
      </c>
      <c r="E96" s="4" t="s">
        <v>36</v>
      </c>
      <c r="F96" s="4" t="n">
        <v>5</v>
      </c>
      <c r="G96" s="4" t="s">
        <v>201</v>
      </c>
      <c r="H96" s="4" t="s">
        <v>202</v>
      </c>
      <c r="I96" s="4" t="n">
        <v>5</v>
      </c>
      <c r="J96" s="4" t="n">
        <v>4</v>
      </c>
      <c r="K96" s="4" t="n">
        <f aca="false">I96-J96</f>
        <v>1</v>
      </c>
    </row>
    <row r="97" customFormat="false" ht="15" hidden="false" customHeight="false" outlineLevel="0" collapsed="false">
      <c r="A97" s="4" t="s">
        <v>54</v>
      </c>
      <c r="B97" s="4" t="s">
        <v>55</v>
      </c>
      <c r="C97" s="4" t="s">
        <v>5</v>
      </c>
      <c r="D97" s="4" t="s">
        <v>47</v>
      </c>
      <c r="E97" s="4" t="s">
        <v>36</v>
      </c>
      <c r="F97" s="4" t="n">
        <v>6</v>
      </c>
      <c r="G97" s="4" t="s">
        <v>203</v>
      </c>
      <c r="H97" s="4" t="s">
        <v>202</v>
      </c>
      <c r="I97" s="4" t="n">
        <v>5</v>
      </c>
      <c r="J97" s="4" t="n">
        <v>4</v>
      </c>
      <c r="K97" s="4" t="n">
        <f aca="false">I97-J97</f>
        <v>1</v>
      </c>
    </row>
    <row r="98" customFormat="false" ht="15" hidden="false" customHeight="false" outlineLevel="0" collapsed="false">
      <c r="A98" s="4" t="s">
        <v>54</v>
      </c>
      <c r="B98" s="4" t="s">
        <v>55</v>
      </c>
      <c r="C98" s="4" t="s">
        <v>5</v>
      </c>
      <c r="D98" s="4" t="s">
        <v>47</v>
      </c>
      <c r="E98" s="4" t="s">
        <v>36</v>
      </c>
      <c r="F98" s="4" t="n">
        <v>7</v>
      </c>
      <c r="G98" s="4" t="s">
        <v>204</v>
      </c>
      <c r="H98" s="4" t="s">
        <v>205</v>
      </c>
      <c r="I98" s="4" t="n">
        <v>5</v>
      </c>
      <c r="J98" s="4" t="n">
        <v>4</v>
      </c>
      <c r="K98" s="4" t="n">
        <f aca="false">I98-J98</f>
        <v>1</v>
      </c>
    </row>
    <row r="99" customFormat="false" ht="15" hidden="false" customHeight="false" outlineLevel="0" collapsed="false">
      <c r="A99" s="4" t="s">
        <v>54</v>
      </c>
      <c r="B99" s="4" t="s">
        <v>55</v>
      </c>
      <c r="C99" s="4" t="s">
        <v>5</v>
      </c>
      <c r="D99" s="4" t="s">
        <v>47</v>
      </c>
      <c r="E99" s="4" t="s">
        <v>36</v>
      </c>
      <c r="F99" s="4" t="n">
        <v>8</v>
      </c>
      <c r="G99" s="4" t="s">
        <v>206</v>
      </c>
      <c r="H99" s="4" t="s">
        <v>205</v>
      </c>
      <c r="I99" s="4" t="n">
        <v>5</v>
      </c>
      <c r="J99" s="4" t="n">
        <v>5</v>
      </c>
      <c r="K99" s="4" t="n">
        <f aca="false">I99-J99</f>
        <v>0</v>
      </c>
    </row>
    <row r="100" customFormat="false" ht="15" hidden="false" customHeight="false" outlineLevel="0" collapsed="false">
      <c r="A100" s="4" t="s">
        <v>54</v>
      </c>
      <c r="B100" s="4" t="s">
        <v>55</v>
      </c>
      <c r="C100" s="4" t="s">
        <v>5</v>
      </c>
      <c r="D100" s="4" t="s">
        <v>47</v>
      </c>
      <c r="E100" s="4" t="s">
        <v>36</v>
      </c>
      <c r="F100" s="4" t="n">
        <v>9</v>
      </c>
      <c r="G100" s="4" t="s">
        <v>207</v>
      </c>
      <c r="H100" s="4" t="s">
        <v>208</v>
      </c>
      <c r="I100" s="4" t="n">
        <v>5</v>
      </c>
      <c r="J100" s="4" t="n">
        <v>5</v>
      </c>
      <c r="K100" s="4" t="n">
        <f aca="false">I100-J100</f>
        <v>0</v>
      </c>
    </row>
    <row r="101" customFormat="false" ht="15" hidden="false" customHeight="false" outlineLevel="0" collapsed="false">
      <c r="A101" s="4" t="s">
        <v>54</v>
      </c>
      <c r="B101" s="4" t="s">
        <v>55</v>
      </c>
      <c r="C101" s="4" t="s">
        <v>5</v>
      </c>
      <c r="D101" s="4" t="s">
        <v>47</v>
      </c>
      <c r="E101" s="4" t="s">
        <v>36</v>
      </c>
      <c r="F101" s="4" t="n">
        <v>10</v>
      </c>
      <c r="G101" s="4" t="s">
        <v>209</v>
      </c>
      <c r="H101" s="4" t="s">
        <v>208</v>
      </c>
      <c r="I101" s="4" t="n">
        <v>5</v>
      </c>
      <c r="J101" s="4" t="n">
        <v>4</v>
      </c>
      <c r="K101" s="4" t="n">
        <f aca="false">I101-J101</f>
        <v>1</v>
      </c>
    </row>
    <row r="102" customFormat="false" ht="15" hidden="false" customHeight="false" outlineLevel="0" collapsed="false">
      <c r="A102" s="4" t="s">
        <v>54</v>
      </c>
      <c r="B102" s="4" t="s">
        <v>55</v>
      </c>
      <c r="C102" s="4" t="s">
        <v>5</v>
      </c>
      <c r="D102" s="4" t="s">
        <v>47</v>
      </c>
      <c r="E102" s="4" t="s">
        <v>36</v>
      </c>
      <c r="F102" s="4" t="n">
        <v>14</v>
      </c>
      <c r="G102" s="4" t="s">
        <v>199</v>
      </c>
      <c r="H102" s="4" t="s">
        <v>200</v>
      </c>
      <c r="I102" s="4" t="n">
        <v>5</v>
      </c>
      <c r="J102" s="4" t="n">
        <v>5</v>
      </c>
      <c r="K102" s="4" t="n">
        <f aca="false">I102-J102</f>
        <v>0</v>
      </c>
    </row>
    <row r="103" customFormat="false" ht="15" hidden="false" customHeight="false" outlineLevel="0" collapsed="false">
      <c r="A103" s="4" t="s">
        <v>56</v>
      </c>
      <c r="B103" s="4" t="s">
        <v>57</v>
      </c>
      <c r="C103" s="4" t="s">
        <v>7</v>
      </c>
      <c r="D103" s="4" t="s">
        <v>58</v>
      </c>
      <c r="E103" s="4" t="s">
        <v>36</v>
      </c>
      <c r="F103" s="4" t="n">
        <v>1</v>
      </c>
      <c r="G103" s="4" t="s">
        <v>191</v>
      </c>
      <c r="H103" s="4" t="s">
        <v>192</v>
      </c>
      <c r="I103" s="4" t="n">
        <v>5</v>
      </c>
      <c r="J103" s="4" t="n">
        <v>5</v>
      </c>
      <c r="K103" s="4" t="n">
        <f aca="false">I103-J103</f>
        <v>0</v>
      </c>
    </row>
    <row r="104" customFormat="false" ht="15" hidden="false" customHeight="false" outlineLevel="0" collapsed="false">
      <c r="A104" s="4" t="s">
        <v>56</v>
      </c>
      <c r="B104" s="4" t="s">
        <v>57</v>
      </c>
      <c r="C104" s="4" t="s">
        <v>7</v>
      </c>
      <c r="D104" s="4" t="s">
        <v>58</v>
      </c>
      <c r="E104" s="4" t="s">
        <v>36</v>
      </c>
      <c r="F104" s="4" t="n">
        <v>2</v>
      </c>
      <c r="G104" s="4" t="s">
        <v>193</v>
      </c>
      <c r="H104" s="4" t="s">
        <v>192</v>
      </c>
      <c r="I104" s="4" t="n">
        <v>5</v>
      </c>
      <c r="J104" s="4" t="n">
        <v>4</v>
      </c>
      <c r="K104" s="4" t="n">
        <f aca="false">I104-J104</f>
        <v>1</v>
      </c>
    </row>
    <row r="105" customFormat="false" ht="15" hidden="false" customHeight="false" outlineLevel="0" collapsed="false">
      <c r="A105" s="4" t="s">
        <v>56</v>
      </c>
      <c r="B105" s="4" t="s">
        <v>57</v>
      </c>
      <c r="C105" s="4" t="s">
        <v>7</v>
      </c>
      <c r="D105" s="4" t="s">
        <v>58</v>
      </c>
      <c r="E105" s="4" t="s">
        <v>36</v>
      </c>
      <c r="F105" s="4" t="n">
        <v>3</v>
      </c>
      <c r="G105" s="4" t="s">
        <v>194</v>
      </c>
      <c r="H105" s="4" t="s">
        <v>192</v>
      </c>
      <c r="I105" s="4" t="n">
        <v>3</v>
      </c>
      <c r="J105" s="4" t="n">
        <v>4</v>
      </c>
      <c r="K105" s="4" t="n">
        <f aca="false">I105-J105</f>
        <v>-1</v>
      </c>
    </row>
    <row r="106" customFormat="false" ht="15" hidden="false" customHeight="false" outlineLevel="0" collapsed="false">
      <c r="A106" s="4" t="s">
        <v>56</v>
      </c>
      <c r="B106" s="4" t="s">
        <v>57</v>
      </c>
      <c r="C106" s="4" t="s">
        <v>7</v>
      </c>
      <c r="D106" s="4" t="s">
        <v>58</v>
      </c>
      <c r="E106" s="4" t="s">
        <v>36</v>
      </c>
      <c r="F106" s="4" t="n">
        <v>11</v>
      </c>
      <c r="G106" s="4" t="s">
        <v>195</v>
      </c>
      <c r="H106" s="4" t="s">
        <v>196</v>
      </c>
      <c r="I106" s="4" t="n">
        <v>4</v>
      </c>
      <c r="J106" s="4" t="n">
        <v>5</v>
      </c>
      <c r="K106" s="4" t="n">
        <f aca="false">I106-J106</f>
        <v>-1</v>
      </c>
    </row>
    <row r="107" customFormat="false" ht="15" hidden="false" customHeight="false" outlineLevel="0" collapsed="false">
      <c r="A107" s="4" t="s">
        <v>56</v>
      </c>
      <c r="B107" s="4" t="s">
        <v>57</v>
      </c>
      <c r="C107" s="4" t="s">
        <v>7</v>
      </c>
      <c r="D107" s="4" t="s">
        <v>58</v>
      </c>
      <c r="E107" s="4" t="s">
        <v>36</v>
      </c>
      <c r="F107" s="4" t="n">
        <v>12</v>
      </c>
      <c r="G107" s="4" t="s">
        <v>197</v>
      </c>
      <c r="H107" s="4" t="s">
        <v>196</v>
      </c>
      <c r="I107" s="4" t="n">
        <v>3</v>
      </c>
      <c r="J107" s="4" t="n">
        <v>4</v>
      </c>
      <c r="K107" s="4" t="n">
        <f aca="false">I107-J107</f>
        <v>-1</v>
      </c>
    </row>
    <row r="108" customFormat="false" ht="15" hidden="false" customHeight="false" outlineLevel="0" collapsed="false">
      <c r="A108" s="4" t="s">
        <v>56</v>
      </c>
      <c r="B108" s="4" t="s">
        <v>57</v>
      </c>
      <c r="C108" s="4" t="s">
        <v>7</v>
      </c>
      <c r="D108" s="4" t="s">
        <v>58</v>
      </c>
      <c r="E108" s="4" t="s">
        <v>36</v>
      </c>
      <c r="F108" s="4" t="n">
        <v>13</v>
      </c>
      <c r="G108" s="4" t="s">
        <v>198</v>
      </c>
      <c r="H108" s="4" t="s">
        <v>196</v>
      </c>
      <c r="I108" s="4" t="n">
        <v>4</v>
      </c>
      <c r="J108" s="4" t="n">
        <v>4</v>
      </c>
      <c r="K108" s="4" t="n">
        <f aca="false">I108-J108</f>
        <v>0</v>
      </c>
    </row>
    <row r="109" customFormat="false" ht="15" hidden="false" customHeight="false" outlineLevel="0" collapsed="false">
      <c r="A109" s="4" t="s">
        <v>56</v>
      </c>
      <c r="B109" s="4" t="s">
        <v>57</v>
      </c>
      <c r="C109" s="4" t="s">
        <v>7</v>
      </c>
      <c r="D109" s="4" t="s">
        <v>58</v>
      </c>
      <c r="E109" s="4" t="s">
        <v>36</v>
      </c>
      <c r="F109" s="4" t="n">
        <v>14</v>
      </c>
      <c r="G109" s="4" t="s">
        <v>199</v>
      </c>
      <c r="H109" s="4" t="s">
        <v>200</v>
      </c>
      <c r="I109" s="4" t="n">
        <v>5</v>
      </c>
      <c r="J109" s="4" t="n">
        <v>5</v>
      </c>
      <c r="K109" s="4" t="n">
        <f aca="false">I109-J109</f>
        <v>0</v>
      </c>
    </row>
    <row r="110" customFormat="false" ht="15" hidden="false" customHeight="false" outlineLevel="0" collapsed="false">
      <c r="A110" s="4" t="s">
        <v>59</v>
      </c>
      <c r="B110" s="4" t="s">
        <v>60</v>
      </c>
      <c r="C110" s="4" t="s">
        <v>5</v>
      </c>
      <c r="D110" s="4" t="s">
        <v>58</v>
      </c>
      <c r="E110" s="4" t="s">
        <v>36</v>
      </c>
      <c r="F110" s="4" t="n">
        <v>1</v>
      </c>
      <c r="G110" s="4" t="s">
        <v>191</v>
      </c>
      <c r="H110" s="4" t="s">
        <v>192</v>
      </c>
      <c r="I110" s="4" t="n">
        <v>5</v>
      </c>
      <c r="J110" s="4" t="n">
        <v>5</v>
      </c>
      <c r="K110" s="4" t="n">
        <f aca="false">I110-J110</f>
        <v>0</v>
      </c>
    </row>
    <row r="111" customFormat="false" ht="15" hidden="false" customHeight="false" outlineLevel="0" collapsed="false">
      <c r="A111" s="4" t="s">
        <v>59</v>
      </c>
      <c r="B111" s="4" t="s">
        <v>60</v>
      </c>
      <c r="C111" s="4" t="s">
        <v>5</v>
      </c>
      <c r="D111" s="4" t="s">
        <v>58</v>
      </c>
      <c r="E111" s="4" t="s">
        <v>36</v>
      </c>
      <c r="F111" s="4" t="n">
        <v>2</v>
      </c>
      <c r="G111" s="4" t="s">
        <v>193</v>
      </c>
      <c r="H111" s="4" t="s">
        <v>192</v>
      </c>
      <c r="I111" s="4" t="n">
        <v>5</v>
      </c>
      <c r="J111" s="4" t="n">
        <v>5</v>
      </c>
      <c r="K111" s="4" t="n">
        <f aca="false">I111-J111</f>
        <v>0</v>
      </c>
    </row>
    <row r="112" customFormat="false" ht="15" hidden="false" customHeight="false" outlineLevel="0" collapsed="false">
      <c r="A112" s="4" t="s">
        <v>59</v>
      </c>
      <c r="B112" s="4" t="s">
        <v>60</v>
      </c>
      <c r="C112" s="4" t="s">
        <v>5</v>
      </c>
      <c r="D112" s="4" t="s">
        <v>58</v>
      </c>
      <c r="E112" s="4" t="s">
        <v>36</v>
      </c>
      <c r="F112" s="4" t="n">
        <v>3</v>
      </c>
      <c r="G112" s="4" t="s">
        <v>194</v>
      </c>
      <c r="H112" s="4" t="s">
        <v>192</v>
      </c>
      <c r="I112" s="4" t="n">
        <v>5</v>
      </c>
      <c r="J112" s="4" t="n">
        <v>4</v>
      </c>
      <c r="K112" s="4" t="n">
        <f aca="false">I112-J112</f>
        <v>1</v>
      </c>
    </row>
    <row r="113" customFormat="false" ht="15" hidden="false" customHeight="false" outlineLevel="0" collapsed="false">
      <c r="A113" s="4" t="s">
        <v>59</v>
      </c>
      <c r="B113" s="4" t="s">
        <v>60</v>
      </c>
      <c r="C113" s="4" t="s">
        <v>5</v>
      </c>
      <c r="D113" s="4" t="s">
        <v>58</v>
      </c>
      <c r="E113" s="4" t="s">
        <v>36</v>
      </c>
      <c r="F113" s="4" t="n">
        <v>5</v>
      </c>
      <c r="G113" s="4" t="s">
        <v>201</v>
      </c>
      <c r="H113" s="4" t="s">
        <v>202</v>
      </c>
      <c r="I113" s="4" t="n">
        <v>4</v>
      </c>
      <c r="J113" s="4" t="n">
        <v>3</v>
      </c>
      <c r="K113" s="4" t="n">
        <f aca="false">I113-J113</f>
        <v>1</v>
      </c>
    </row>
    <row r="114" customFormat="false" ht="15" hidden="false" customHeight="false" outlineLevel="0" collapsed="false">
      <c r="A114" s="4" t="s">
        <v>59</v>
      </c>
      <c r="B114" s="4" t="s">
        <v>60</v>
      </c>
      <c r="C114" s="4" t="s">
        <v>5</v>
      </c>
      <c r="D114" s="4" t="s">
        <v>58</v>
      </c>
      <c r="E114" s="4" t="s">
        <v>36</v>
      </c>
      <c r="F114" s="4" t="n">
        <v>6</v>
      </c>
      <c r="G114" s="4" t="s">
        <v>203</v>
      </c>
      <c r="H114" s="4" t="s">
        <v>202</v>
      </c>
      <c r="I114" s="4" t="n">
        <v>4</v>
      </c>
      <c r="J114" s="4" t="n">
        <v>4</v>
      </c>
      <c r="K114" s="4" t="n">
        <f aca="false">I114-J114</f>
        <v>0</v>
      </c>
    </row>
    <row r="115" customFormat="false" ht="15" hidden="false" customHeight="false" outlineLevel="0" collapsed="false">
      <c r="A115" s="4" t="s">
        <v>59</v>
      </c>
      <c r="B115" s="4" t="s">
        <v>60</v>
      </c>
      <c r="C115" s="4" t="s">
        <v>5</v>
      </c>
      <c r="D115" s="4" t="s">
        <v>58</v>
      </c>
      <c r="E115" s="4" t="s">
        <v>36</v>
      </c>
      <c r="F115" s="4" t="n">
        <v>7</v>
      </c>
      <c r="G115" s="4" t="s">
        <v>204</v>
      </c>
      <c r="H115" s="4" t="s">
        <v>205</v>
      </c>
      <c r="I115" s="4" t="n">
        <v>3</v>
      </c>
      <c r="J115" s="4" t="n">
        <v>4</v>
      </c>
      <c r="K115" s="4" t="n">
        <f aca="false">I115-J115</f>
        <v>-1</v>
      </c>
    </row>
    <row r="116" customFormat="false" ht="15" hidden="false" customHeight="false" outlineLevel="0" collapsed="false">
      <c r="A116" s="4" t="s">
        <v>59</v>
      </c>
      <c r="B116" s="4" t="s">
        <v>60</v>
      </c>
      <c r="C116" s="4" t="s">
        <v>5</v>
      </c>
      <c r="D116" s="4" t="s">
        <v>58</v>
      </c>
      <c r="E116" s="4" t="s">
        <v>36</v>
      </c>
      <c r="F116" s="4" t="n">
        <v>8</v>
      </c>
      <c r="G116" s="4" t="s">
        <v>206</v>
      </c>
      <c r="H116" s="4" t="s">
        <v>205</v>
      </c>
      <c r="I116" s="4" t="n">
        <v>4</v>
      </c>
      <c r="J116" s="4" t="n">
        <v>5</v>
      </c>
      <c r="K116" s="4" t="n">
        <f aca="false">I116-J116</f>
        <v>-1</v>
      </c>
    </row>
    <row r="117" customFormat="false" ht="15" hidden="false" customHeight="false" outlineLevel="0" collapsed="false">
      <c r="A117" s="4" t="s">
        <v>59</v>
      </c>
      <c r="B117" s="4" t="s">
        <v>60</v>
      </c>
      <c r="C117" s="4" t="s">
        <v>5</v>
      </c>
      <c r="D117" s="4" t="s">
        <v>58</v>
      </c>
      <c r="E117" s="4" t="s">
        <v>36</v>
      </c>
      <c r="F117" s="4" t="n">
        <v>9</v>
      </c>
      <c r="G117" s="4" t="s">
        <v>207</v>
      </c>
      <c r="H117" s="4" t="s">
        <v>208</v>
      </c>
      <c r="I117" s="4" t="n">
        <v>4</v>
      </c>
      <c r="J117" s="4" t="n">
        <v>3</v>
      </c>
      <c r="K117" s="4" t="n">
        <f aca="false">I117-J117</f>
        <v>1</v>
      </c>
    </row>
    <row r="118" customFormat="false" ht="15" hidden="false" customHeight="false" outlineLevel="0" collapsed="false">
      <c r="A118" s="4" t="s">
        <v>59</v>
      </c>
      <c r="B118" s="4" t="s">
        <v>60</v>
      </c>
      <c r="C118" s="4" t="s">
        <v>5</v>
      </c>
      <c r="D118" s="4" t="s">
        <v>58</v>
      </c>
      <c r="E118" s="4" t="s">
        <v>36</v>
      </c>
      <c r="F118" s="4" t="n">
        <v>10</v>
      </c>
      <c r="G118" s="4" t="s">
        <v>209</v>
      </c>
      <c r="H118" s="4" t="s">
        <v>208</v>
      </c>
      <c r="I118" s="4" t="n">
        <v>5</v>
      </c>
      <c r="J118" s="4" t="n">
        <v>4</v>
      </c>
      <c r="K118" s="4" t="n">
        <f aca="false">I118-J118</f>
        <v>1</v>
      </c>
    </row>
    <row r="119" customFormat="false" ht="15" hidden="false" customHeight="false" outlineLevel="0" collapsed="false">
      <c r="A119" s="4" t="s">
        <v>59</v>
      </c>
      <c r="B119" s="4" t="s">
        <v>60</v>
      </c>
      <c r="C119" s="4" t="s">
        <v>5</v>
      </c>
      <c r="D119" s="4" t="s">
        <v>58</v>
      </c>
      <c r="E119" s="4" t="s">
        <v>36</v>
      </c>
      <c r="F119" s="4" t="n">
        <v>14</v>
      </c>
      <c r="G119" s="4" t="s">
        <v>199</v>
      </c>
      <c r="H119" s="4" t="s">
        <v>200</v>
      </c>
      <c r="I119" s="4" t="n">
        <v>3</v>
      </c>
      <c r="J119" s="4" t="n">
        <v>4</v>
      </c>
      <c r="K119" s="4" t="n">
        <f aca="false">I119-J119</f>
        <v>-1</v>
      </c>
    </row>
    <row r="120" customFormat="false" ht="15" hidden="false" customHeight="false" outlineLevel="0" collapsed="false">
      <c r="A120" s="4" t="s">
        <v>61</v>
      </c>
      <c r="B120" s="4" t="s">
        <v>62</v>
      </c>
      <c r="C120" s="4" t="s">
        <v>5</v>
      </c>
      <c r="D120" s="4" t="s">
        <v>58</v>
      </c>
      <c r="E120" s="4" t="s">
        <v>36</v>
      </c>
      <c r="F120" s="4" t="n">
        <v>1</v>
      </c>
      <c r="G120" s="4" t="s">
        <v>191</v>
      </c>
      <c r="H120" s="4" t="s">
        <v>192</v>
      </c>
      <c r="I120" s="4" t="n">
        <v>2</v>
      </c>
      <c r="J120" s="4" t="n">
        <v>3</v>
      </c>
      <c r="K120" s="4" t="n">
        <f aca="false">I120-J120</f>
        <v>-1</v>
      </c>
    </row>
    <row r="121" customFormat="false" ht="15" hidden="false" customHeight="false" outlineLevel="0" collapsed="false">
      <c r="A121" s="4" t="s">
        <v>61</v>
      </c>
      <c r="B121" s="4" t="s">
        <v>62</v>
      </c>
      <c r="C121" s="4" t="s">
        <v>5</v>
      </c>
      <c r="D121" s="4" t="s">
        <v>58</v>
      </c>
      <c r="E121" s="4" t="s">
        <v>36</v>
      </c>
      <c r="F121" s="4" t="n">
        <v>2</v>
      </c>
      <c r="G121" s="4" t="s">
        <v>193</v>
      </c>
      <c r="H121" s="4" t="s">
        <v>192</v>
      </c>
      <c r="I121" s="4" t="n">
        <v>4</v>
      </c>
      <c r="J121" s="4" t="n">
        <v>3</v>
      </c>
      <c r="K121" s="4" t="n">
        <f aca="false">I121-J121</f>
        <v>1</v>
      </c>
    </row>
    <row r="122" customFormat="false" ht="15" hidden="false" customHeight="false" outlineLevel="0" collapsed="false">
      <c r="A122" s="4" t="s">
        <v>61</v>
      </c>
      <c r="B122" s="4" t="s">
        <v>62</v>
      </c>
      <c r="C122" s="4" t="s">
        <v>5</v>
      </c>
      <c r="D122" s="4" t="s">
        <v>58</v>
      </c>
      <c r="E122" s="4" t="s">
        <v>36</v>
      </c>
      <c r="F122" s="4" t="n">
        <v>3</v>
      </c>
      <c r="G122" s="4" t="s">
        <v>194</v>
      </c>
      <c r="H122" s="4" t="s">
        <v>192</v>
      </c>
      <c r="I122" s="4" t="n">
        <v>3</v>
      </c>
      <c r="J122" s="4" t="n">
        <v>4</v>
      </c>
      <c r="K122" s="4" t="n">
        <f aca="false">I122-J122</f>
        <v>-1</v>
      </c>
    </row>
    <row r="123" customFormat="false" ht="15" hidden="false" customHeight="false" outlineLevel="0" collapsed="false">
      <c r="A123" s="4" t="s">
        <v>61</v>
      </c>
      <c r="B123" s="4" t="s">
        <v>62</v>
      </c>
      <c r="C123" s="4" t="s">
        <v>5</v>
      </c>
      <c r="D123" s="4" t="s">
        <v>58</v>
      </c>
      <c r="E123" s="4" t="s">
        <v>36</v>
      </c>
      <c r="F123" s="4" t="n">
        <v>5</v>
      </c>
      <c r="G123" s="4" t="s">
        <v>201</v>
      </c>
      <c r="H123" s="4" t="s">
        <v>202</v>
      </c>
      <c r="I123" s="4" t="n">
        <v>5</v>
      </c>
      <c r="J123" s="4" t="n">
        <v>4</v>
      </c>
      <c r="K123" s="4" t="n">
        <f aca="false">I123-J123</f>
        <v>1</v>
      </c>
    </row>
    <row r="124" customFormat="false" ht="15" hidden="false" customHeight="false" outlineLevel="0" collapsed="false">
      <c r="A124" s="4" t="s">
        <v>61</v>
      </c>
      <c r="B124" s="4" t="s">
        <v>62</v>
      </c>
      <c r="C124" s="4" t="s">
        <v>5</v>
      </c>
      <c r="D124" s="4" t="s">
        <v>58</v>
      </c>
      <c r="E124" s="4" t="s">
        <v>36</v>
      </c>
      <c r="F124" s="4" t="n">
        <v>6</v>
      </c>
      <c r="G124" s="4" t="s">
        <v>203</v>
      </c>
      <c r="H124" s="4" t="s">
        <v>202</v>
      </c>
      <c r="I124" s="4" t="n">
        <v>3</v>
      </c>
      <c r="J124" s="4" t="n">
        <v>3</v>
      </c>
      <c r="K124" s="4" t="n">
        <f aca="false">I124-J124</f>
        <v>0</v>
      </c>
    </row>
    <row r="125" customFormat="false" ht="15" hidden="false" customHeight="false" outlineLevel="0" collapsed="false">
      <c r="A125" s="4" t="s">
        <v>61</v>
      </c>
      <c r="B125" s="4" t="s">
        <v>62</v>
      </c>
      <c r="C125" s="4" t="s">
        <v>5</v>
      </c>
      <c r="D125" s="4" t="s">
        <v>58</v>
      </c>
      <c r="E125" s="4" t="s">
        <v>36</v>
      </c>
      <c r="F125" s="4" t="n">
        <v>7</v>
      </c>
      <c r="G125" s="4" t="s">
        <v>204</v>
      </c>
      <c r="H125" s="4" t="s">
        <v>205</v>
      </c>
      <c r="I125" s="4" t="n">
        <v>3</v>
      </c>
      <c r="J125" s="4" t="n">
        <v>3</v>
      </c>
      <c r="K125" s="4" t="n">
        <f aca="false">I125-J125</f>
        <v>0</v>
      </c>
    </row>
    <row r="126" customFormat="false" ht="15" hidden="false" customHeight="false" outlineLevel="0" collapsed="false">
      <c r="A126" s="4" t="s">
        <v>61</v>
      </c>
      <c r="B126" s="4" t="s">
        <v>62</v>
      </c>
      <c r="C126" s="4" t="s">
        <v>5</v>
      </c>
      <c r="D126" s="4" t="s">
        <v>58</v>
      </c>
      <c r="E126" s="4" t="s">
        <v>36</v>
      </c>
      <c r="F126" s="4" t="n">
        <v>8</v>
      </c>
      <c r="G126" s="4" t="s">
        <v>206</v>
      </c>
      <c r="H126" s="4" t="s">
        <v>205</v>
      </c>
      <c r="I126" s="4" t="n">
        <v>5</v>
      </c>
      <c r="J126" s="4" t="n">
        <v>4</v>
      </c>
      <c r="K126" s="4" t="n">
        <f aca="false">I126-J126</f>
        <v>1</v>
      </c>
    </row>
    <row r="127" customFormat="false" ht="15" hidden="false" customHeight="false" outlineLevel="0" collapsed="false">
      <c r="A127" s="4" t="s">
        <v>61</v>
      </c>
      <c r="B127" s="4" t="s">
        <v>62</v>
      </c>
      <c r="C127" s="4" t="s">
        <v>5</v>
      </c>
      <c r="D127" s="4" t="s">
        <v>58</v>
      </c>
      <c r="E127" s="4" t="s">
        <v>36</v>
      </c>
      <c r="F127" s="4" t="n">
        <v>9</v>
      </c>
      <c r="G127" s="4" t="s">
        <v>207</v>
      </c>
      <c r="H127" s="4" t="s">
        <v>208</v>
      </c>
      <c r="I127" s="4" t="n">
        <v>3</v>
      </c>
      <c r="J127" s="4" t="n">
        <v>3</v>
      </c>
      <c r="K127" s="4" t="n">
        <f aca="false">I127-J127</f>
        <v>0</v>
      </c>
    </row>
    <row r="128" customFormat="false" ht="15" hidden="false" customHeight="false" outlineLevel="0" collapsed="false">
      <c r="A128" s="4" t="s">
        <v>61</v>
      </c>
      <c r="B128" s="4" t="s">
        <v>62</v>
      </c>
      <c r="C128" s="4" t="s">
        <v>5</v>
      </c>
      <c r="D128" s="4" t="s">
        <v>58</v>
      </c>
      <c r="E128" s="4" t="s">
        <v>36</v>
      </c>
      <c r="F128" s="4" t="n">
        <v>10</v>
      </c>
      <c r="G128" s="4" t="s">
        <v>209</v>
      </c>
      <c r="H128" s="4" t="s">
        <v>208</v>
      </c>
      <c r="I128" s="4" t="n">
        <v>5</v>
      </c>
      <c r="J128" s="4" t="n">
        <v>3</v>
      </c>
      <c r="K128" s="4" t="n">
        <f aca="false">I128-J128</f>
        <v>2</v>
      </c>
    </row>
    <row r="129" customFormat="false" ht="15" hidden="false" customHeight="false" outlineLevel="0" collapsed="false">
      <c r="A129" s="4" t="s">
        <v>61</v>
      </c>
      <c r="B129" s="4" t="s">
        <v>62</v>
      </c>
      <c r="C129" s="4" t="s">
        <v>5</v>
      </c>
      <c r="D129" s="4" t="s">
        <v>58</v>
      </c>
      <c r="E129" s="4" t="s">
        <v>36</v>
      </c>
      <c r="F129" s="4" t="n">
        <v>14</v>
      </c>
      <c r="G129" s="4" t="s">
        <v>199</v>
      </c>
      <c r="H129" s="4" t="s">
        <v>200</v>
      </c>
      <c r="I129" s="4" t="n">
        <v>5</v>
      </c>
      <c r="J129" s="4" t="n">
        <v>4</v>
      </c>
      <c r="K129" s="4" t="n">
        <f aca="false">I129-J129</f>
        <v>1</v>
      </c>
    </row>
    <row r="130" customFormat="false" ht="15" hidden="false" customHeight="false" outlineLevel="0" collapsed="false">
      <c r="A130" s="4" t="s">
        <v>63</v>
      </c>
      <c r="B130" s="4" t="s">
        <v>64</v>
      </c>
      <c r="C130" s="4" t="s">
        <v>5</v>
      </c>
      <c r="D130" s="4" t="s">
        <v>58</v>
      </c>
      <c r="E130" s="4" t="s">
        <v>36</v>
      </c>
      <c r="F130" s="4" t="n">
        <v>1</v>
      </c>
      <c r="G130" s="4" t="s">
        <v>191</v>
      </c>
      <c r="H130" s="4" t="s">
        <v>192</v>
      </c>
      <c r="I130" s="4" t="n">
        <v>4</v>
      </c>
      <c r="J130" s="4" t="n">
        <v>4</v>
      </c>
      <c r="K130" s="4" t="n">
        <f aca="false">I130-J130</f>
        <v>0</v>
      </c>
    </row>
    <row r="131" customFormat="false" ht="15" hidden="false" customHeight="false" outlineLevel="0" collapsed="false">
      <c r="A131" s="4" t="s">
        <v>63</v>
      </c>
      <c r="B131" s="4" t="s">
        <v>64</v>
      </c>
      <c r="C131" s="4" t="s">
        <v>5</v>
      </c>
      <c r="D131" s="4" t="s">
        <v>58</v>
      </c>
      <c r="E131" s="4" t="s">
        <v>36</v>
      </c>
      <c r="F131" s="4" t="n">
        <v>2</v>
      </c>
      <c r="G131" s="4" t="s">
        <v>193</v>
      </c>
      <c r="H131" s="4" t="s">
        <v>192</v>
      </c>
      <c r="I131" s="4" t="n">
        <v>5</v>
      </c>
      <c r="J131" s="4" t="n">
        <v>5</v>
      </c>
      <c r="K131" s="4" t="n">
        <f aca="false">I131-J131</f>
        <v>0</v>
      </c>
    </row>
    <row r="132" customFormat="false" ht="15" hidden="false" customHeight="false" outlineLevel="0" collapsed="false">
      <c r="A132" s="4" t="s">
        <v>63</v>
      </c>
      <c r="B132" s="4" t="s">
        <v>64</v>
      </c>
      <c r="C132" s="4" t="s">
        <v>5</v>
      </c>
      <c r="D132" s="4" t="s">
        <v>58</v>
      </c>
      <c r="E132" s="4" t="s">
        <v>36</v>
      </c>
      <c r="F132" s="4" t="n">
        <v>3</v>
      </c>
      <c r="G132" s="4" t="s">
        <v>194</v>
      </c>
      <c r="H132" s="4" t="s">
        <v>192</v>
      </c>
      <c r="I132" s="4" t="n">
        <v>4</v>
      </c>
      <c r="J132" s="4" t="n">
        <v>4</v>
      </c>
      <c r="K132" s="4" t="n">
        <f aca="false">I132-J132</f>
        <v>0</v>
      </c>
    </row>
    <row r="133" customFormat="false" ht="15" hidden="false" customHeight="false" outlineLevel="0" collapsed="false">
      <c r="A133" s="4" t="s">
        <v>63</v>
      </c>
      <c r="B133" s="4" t="s">
        <v>64</v>
      </c>
      <c r="C133" s="4" t="s">
        <v>5</v>
      </c>
      <c r="D133" s="4" t="s">
        <v>58</v>
      </c>
      <c r="E133" s="4" t="s">
        <v>36</v>
      </c>
      <c r="F133" s="4" t="n">
        <v>5</v>
      </c>
      <c r="G133" s="4" t="s">
        <v>201</v>
      </c>
      <c r="H133" s="4" t="s">
        <v>202</v>
      </c>
      <c r="I133" s="4" t="n">
        <v>3</v>
      </c>
      <c r="J133" s="4" t="n">
        <v>3</v>
      </c>
      <c r="K133" s="4" t="n">
        <f aca="false">I133-J133</f>
        <v>0</v>
      </c>
    </row>
    <row r="134" customFormat="false" ht="15" hidden="false" customHeight="false" outlineLevel="0" collapsed="false">
      <c r="A134" s="4" t="s">
        <v>63</v>
      </c>
      <c r="B134" s="4" t="s">
        <v>64</v>
      </c>
      <c r="C134" s="4" t="s">
        <v>5</v>
      </c>
      <c r="D134" s="4" t="s">
        <v>58</v>
      </c>
      <c r="E134" s="4" t="s">
        <v>36</v>
      </c>
      <c r="F134" s="4" t="n">
        <v>6</v>
      </c>
      <c r="G134" s="4" t="s">
        <v>203</v>
      </c>
      <c r="H134" s="4" t="s">
        <v>202</v>
      </c>
      <c r="I134" s="4" t="n">
        <v>3</v>
      </c>
      <c r="J134" s="4" t="n">
        <v>4</v>
      </c>
      <c r="K134" s="4" t="n">
        <f aca="false">I134-J134</f>
        <v>-1</v>
      </c>
    </row>
    <row r="135" customFormat="false" ht="15" hidden="false" customHeight="false" outlineLevel="0" collapsed="false">
      <c r="A135" s="4" t="s">
        <v>63</v>
      </c>
      <c r="B135" s="4" t="s">
        <v>64</v>
      </c>
      <c r="C135" s="4" t="s">
        <v>5</v>
      </c>
      <c r="D135" s="4" t="s">
        <v>58</v>
      </c>
      <c r="E135" s="4" t="s">
        <v>36</v>
      </c>
      <c r="F135" s="4" t="n">
        <v>7</v>
      </c>
      <c r="G135" s="4" t="s">
        <v>204</v>
      </c>
      <c r="H135" s="4" t="s">
        <v>205</v>
      </c>
      <c r="I135" s="4" t="n">
        <v>5</v>
      </c>
      <c r="J135" s="4" t="n">
        <v>5</v>
      </c>
      <c r="K135" s="4" t="n">
        <f aca="false">I135-J135</f>
        <v>0</v>
      </c>
    </row>
    <row r="136" customFormat="false" ht="15" hidden="false" customHeight="false" outlineLevel="0" collapsed="false">
      <c r="A136" s="4" t="s">
        <v>63</v>
      </c>
      <c r="B136" s="4" t="s">
        <v>64</v>
      </c>
      <c r="C136" s="4" t="s">
        <v>5</v>
      </c>
      <c r="D136" s="4" t="s">
        <v>58</v>
      </c>
      <c r="E136" s="4" t="s">
        <v>36</v>
      </c>
      <c r="F136" s="4" t="n">
        <v>8</v>
      </c>
      <c r="G136" s="4" t="s">
        <v>206</v>
      </c>
      <c r="H136" s="4" t="s">
        <v>205</v>
      </c>
      <c r="I136" s="4" t="n">
        <v>3</v>
      </c>
      <c r="J136" s="4" t="n">
        <v>4</v>
      </c>
      <c r="K136" s="4" t="n">
        <f aca="false">I136-J136</f>
        <v>-1</v>
      </c>
    </row>
    <row r="137" customFormat="false" ht="15" hidden="false" customHeight="false" outlineLevel="0" collapsed="false">
      <c r="A137" s="4" t="s">
        <v>63</v>
      </c>
      <c r="B137" s="4" t="s">
        <v>64</v>
      </c>
      <c r="C137" s="4" t="s">
        <v>5</v>
      </c>
      <c r="D137" s="4" t="s">
        <v>58</v>
      </c>
      <c r="E137" s="4" t="s">
        <v>36</v>
      </c>
      <c r="F137" s="4" t="n">
        <v>9</v>
      </c>
      <c r="G137" s="4" t="s">
        <v>207</v>
      </c>
      <c r="H137" s="4" t="s">
        <v>208</v>
      </c>
      <c r="I137" s="4" t="n">
        <v>3</v>
      </c>
      <c r="J137" s="4" t="n">
        <v>4</v>
      </c>
      <c r="K137" s="4" t="n">
        <f aca="false">I137-J137</f>
        <v>-1</v>
      </c>
    </row>
    <row r="138" customFormat="false" ht="15" hidden="false" customHeight="false" outlineLevel="0" collapsed="false">
      <c r="A138" s="4" t="s">
        <v>63</v>
      </c>
      <c r="B138" s="4" t="s">
        <v>64</v>
      </c>
      <c r="C138" s="4" t="s">
        <v>5</v>
      </c>
      <c r="D138" s="4" t="s">
        <v>58</v>
      </c>
      <c r="E138" s="4" t="s">
        <v>36</v>
      </c>
      <c r="F138" s="4" t="n">
        <v>10</v>
      </c>
      <c r="G138" s="4" t="s">
        <v>209</v>
      </c>
      <c r="H138" s="4" t="s">
        <v>208</v>
      </c>
      <c r="I138" s="4" t="n">
        <v>4</v>
      </c>
      <c r="J138" s="4" t="n">
        <v>4</v>
      </c>
      <c r="K138" s="4" t="n">
        <f aca="false">I138-J138</f>
        <v>0</v>
      </c>
    </row>
    <row r="139" customFormat="false" ht="15" hidden="false" customHeight="false" outlineLevel="0" collapsed="false">
      <c r="A139" s="4" t="s">
        <v>63</v>
      </c>
      <c r="B139" s="4" t="s">
        <v>64</v>
      </c>
      <c r="C139" s="4" t="s">
        <v>5</v>
      </c>
      <c r="D139" s="4" t="s">
        <v>58</v>
      </c>
      <c r="E139" s="4" t="s">
        <v>36</v>
      </c>
      <c r="F139" s="4" t="n">
        <v>14</v>
      </c>
      <c r="G139" s="4" t="s">
        <v>199</v>
      </c>
      <c r="H139" s="4" t="s">
        <v>200</v>
      </c>
      <c r="I139" s="4" t="n">
        <v>5</v>
      </c>
      <c r="J139" s="4" t="n">
        <v>4</v>
      </c>
      <c r="K139" s="4" t="n">
        <f aca="false">I139-J139</f>
        <v>1</v>
      </c>
    </row>
    <row r="140" customFormat="false" ht="15" hidden="false" customHeight="false" outlineLevel="0" collapsed="false">
      <c r="A140" s="4" t="s">
        <v>65</v>
      </c>
      <c r="B140" s="4" t="s">
        <v>66</v>
      </c>
      <c r="C140" s="4" t="s">
        <v>7</v>
      </c>
      <c r="D140" s="4" t="s">
        <v>67</v>
      </c>
      <c r="E140" s="4" t="s">
        <v>68</v>
      </c>
      <c r="F140" s="4" t="n">
        <v>1</v>
      </c>
      <c r="G140" s="4" t="s">
        <v>191</v>
      </c>
      <c r="H140" s="4" t="s">
        <v>192</v>
      </c>
      <c r="I140" s="4" t="n">
        <v>5</v>
      </c>
      <c r="J140" s="4" t="n">
        <v>5</v>
      </c>
      <c r="K140" s="4" t="n">
        <f aca="false">I140-J140</f>
        <v>0</v>
      </c>
    </row>
    <row r="141" customFormat="false" ht="15" hidden="false" customHeight="false" outlineLevel="0" collapsed="false">
      <c r="A141" s="4" t="s">
        <v>65</v>
      </c>
      <c r="B141" s="4" t="s">
        <v>66</v>
      </c>
      <c r="C141" s="4" t="s">
        <v>7</v>
      </c>
      <c r="D141" s="4" t="s">
        <v>67</v>
      </c>
      <c r="E141" s="4" t="s">
        <v>68</v>
      </c>
      <c r="F141" s="4" t="n">
        <v>2</v>
      </c>
      <c r="G141" s="4" t="s">
        <v>193</v>
      </c>
      <c r="H141" s="4" t="s">
        <v>192</v>
      </c>
      <c r="I141" s="4" t="n">
        <v>5</v>
      </c>
      <c r="J141" s="4" t="n">
        <v>4</v>
      </c>
      <c r="K141" s="4" t="n">
        <f aca="false">I141-J141</f>
        <v>1</v>
      </c>
    </row>
    <row r="142" customFormat="false" ht="15" hidden="false" customHeight="false" outlineLevel="0" collapsed="false">
      <c r="A142" s="4" t="s">
        <v>65</v>
      </c>
      <c r="B142" s="4" t="s">
        <v>66</v>
      </c>
      <c r="C142" s="4" t="s">
        <v>7</v>
      </c>
      <c r="D142" s="4" t="s">
        <v>67</v>
      </c>
      <c r="E142" s="4" t="s">
        <v>68</v>
      </c>
      <c r="F142" s="4" t="n">
        <v>3</v>
      </c>
      <c r="G142" s="4" t="s">
        <v>194</v>
      </c>
      <c r="H142" s="4" t="s">
        <v>192</v>
      </c>
      <c r="I142" s="4" t="n">
        <v>5</v>
      </c>
      <c r="J142" s="4" t="n">
        <v>5</v>
      </c>
      <c r="K142" s="4" t="n">
        <f aca="false">I142-J142</f>
        <v>0</v>
      </c>
    </row>
    <row r="143" customFormat="false" ht="15" hidden="false" customHeight="false" outlineLevel="0" collapsed="false">
      <c r="A143" s="4" t="s">
        <v>65</v>
      </c>
      <c r="B143" s="4" t="s">
        <v>66</v>
      </c>
      <c r="C143" s="4" t="s">
        <v>7</v>
      </c>
      <c r="D143" s="4" t="s">
        <v>67</v>
      </c>
      <c r="E143" s="4" t="s">
        <v>68</v>
      </c>
      <c r="F143" s="4" t="n">
        <v>11</v>
      </c>
      <c r="G143" s="4" t="s">
        <v>195</v>
      </c>
      <c r="H143" s="4" t="s">
        <v>196</v>
      </c>
      <c r="I143" s="4" t="n">
        <v>3</v>
      </c>
      <c r="J143" s="4" t="n">
        <v>3</v>
      </c>
      <c r="K143" s="4" t="n">
        <f aca="false">I143-J143</f>
        <v>0</v>
      </c>
    </row>
    <row r="144" customFormat="false" ht="15" hidden="false" customHeight="false" outlineLevel="0" collapsed="false">
      <c r="A144" s="4" t="s">
        <v>65</v>
      </c>
      <c r="B144" s="4" t="s">
        <v>66</v>
      </c>
      <c r="C144" s="4" t="s">
        <v>7</v>
      </c>
      <c r="D144" s="4" t="s">
        <v>67</v>
      </c>
      <c r="E144" s="4" t="s">
        <v>68</v>
      </c>
      <c r="F144" s="4" t="n">
        <v>12</v>
      </c>
      <c r="G144" s="4" t="s">
        <v>197</v>
      </c>
      <c r="H144" s="4" t="s">
        <v>196</v>
      </c>
      <c r="I144" s="4" t="n">
        <v>5</v>
      </c>
      <c r="J144" s="4" t="n">
        <v>4</v>
      </c>
      <c r="K144" s="4" t="n">
        <f aca="false">I144-J144</f>
        <v>1</v>
      </c>
    </row>
    <row r="145" customFormat="false" ht="15" hidden="false" customHeight="false" outlineLevel="0" collapsed="false">
      <c r="A145" s="4" t="s">
        <v>65</v>
      </c>
      <c r="B145" s="4" t="s">
        <v>66</v>
      </c>
      <c r="C145" s="4" t="s">
        <v>7</v>
      </c>
      <c r="D145" s="4" t="s">
        <v>67</v>
      </c>
      <c r="E145" s="4" t="s">
        <v>68</v>
      </c>
      <c r="F145" s="4" t="n">
        <v>13</v>
      </c>
      <c r="G145" s="4" t="s">
        <v>198</v>
      </c>
      <c r="H145" s="4" t="s">
        <v>196</v>
      </c>
      <c r="I145" s="4" t="n">
        <v>5</v>
      </c>
      <c r="J145" s="4" t="n">
        <v>4</v>
      </c>
      <c r="K145" s="4" t="n">
        <f aca="false">I145-J145</f>
        <v>1</v>
      </c>
    </row>
    <row r="146" customFormat="false" ht="15" hidden="false" customHeight="false" outlineLevel="0" collapsed="false">
      <c r="A146" s="4" t="s">
        <v>65</v>
      </c>
      <c r="B146" s="4" t="s">
        <v>66</v>
      </c>
      <c r="C146" s="4" t="s">
        <v>7</v>
      </c>
      <c r="D146" s="4" t="s">
        <v>67</v>
      </c>
      <c r="E146" s="4" t="s">
        <v>68</v>
      </c>
      <c r="F146" s="4" t="n">
        <v>14</v>
      </c>
      <c r="G146" s="4" t="s">
        <v>199</v>
      </c>
      <c r="H146" s="4" t="s">
        <v>200</v>
      </c>
      <c r="I146" s="4" t="n">
        <v>4</v>
      </c>
      <c r="J146" s="4" t="n">
        <v>4</v>
      </c>
      <c r="K146" s="4" t="n">
        <f aca="false">I146-J146</f>
        <v>0</v>
      </c>
    </row>
    <row r="147" customFormat="false" ht="15" hidden="false" customHeight="false" outlineLevel="0" collapsed="false">
      <c r="A147" s="4" t="s">
        <v>69</v>
      </c>
      <c r="B147" s="4" t="s">
        <v>70</v>
      </c>
      <c r="C147" s="4" t="s">
        <v>5</v>
      </c>
      <c r="D147" s="4" t="s">
        <v>67</v>
      </c>
      <c r="E147" s="4" t="s">
        <v>68</v>
      </c>
      <c r="F147" s="4" t="n">
        <v>1</v>
      </c>
      <c r="G147" s="4" t="s">
        <v>191</v>
      </c>
      <c r="H147" s="4" t="s">
        <v>192</v>
      </c>
      <c r="I147" s="4" t="n">
        <v>5</v>
      </c>
      <c r="J147" s="4" t="n">
        <v>5</v>
      </c>
      <c r="K147" s="4" t="n">
        <f aca="false">I147-J147</f>
        <v>0</v>
      </c>
    </row>
    <row r="148" customFormat="false" ht="15" hidden="false" customHeight="false" outlineLevel="0" collapsed="false">
      <c r="A148" s="4" t="s">
        <v>69</v>
      </c>
      <c r="B148" s="4" t="s">
        <v>70</v>
      </c>
      <c r="C148" s="4" t="s">
        <v>5</v>
      </c>
      <c r="D148" s="4" t="s">
        <v>67</v>
      </c>
      <c r="E148" s="4" t="s">
        <v>68</v>
      </c>
      <c r="F148" s="4" t="n">
        <v>2</v>
      </c>
      <c r="G148" s="4" t="s">
        <v>193</v>
      </c>
      <c r="H148" s="4" t="s">
        <v>192</v>
      </c>
      <c r="I148" s="4" t="n">
        <v>4</v>
      </c>
      <c r="J148" s="4" t="n">
        <v>4</v>
      </c>
      <c r="K148" s="4" t="n">
        <f aca="false">I148-J148</f>
        <v>0</v>
      </c>
    </row>
    <row r="149" customFormat="false" ht="15" hidden="false" customHeight="false" outlineLevel="0" collapsed="false">
      <c r="A149" s="4" t="s">
        <v>69</v>
      </c>
      <c r="B149" s="4" t="s">
        <v>70</v>
      </c>
      <c r="C149" s="4" t="s">
        <v>5</v>
      </c>
      <c r="D149" s="4" t="s">
        <v>67</v>
      </c>
      <c r="E149" s="4" t="s">
        <v>68</v>
      </c>
      <c r="F149" s="4" t="n">
        <v>3</v>
      </c>
      <c r="G149" s="4" t="s">
        <v>194</v>
      </c>
      <c r="H149" s="4" t="s">
        <v>192</v>
      </c>
      <c r="I149" s="4" t="n">
        <v>4</v>
      </c>
      <c r="J149" s="4" t="n">
        <v>4</v>
      </c>
      <c r="K149" s="4" t="n">
        <f aca="false">I149-J149</f>
        <v>0</v>
      </c>
    </row>
    <row r="150" customFormat="false" ht="15" hidden="false" customHeight="false" outlineLevel="0" collapsed="false">
      <c r="A150" s="4" t="s">
        <v>69</v>
      </c>
      <c r="B150" s="4" t="s">
        <v>70</v>
      </c>
      <c r="C150" s="4" t="s">
        <v>5</v>
      </c>
      <c r="D150" s="4" t="s">
        <v>67</v>
      </c>
      <c r="E150" s="4" t="s">
        <v>68</v>
      </c>
      <c r="F150" s="4" t="n">
        <v>5</v>
      </c>
      <c r="G150" s="4" t="s">
        <v>201</v>
      </c>
      <c r="H150" s="4" t="s">
        <v>202</v>
      </c>
      <c r="I150" s="4" t="n">
        <v>4</v>
      </c>
      <c r="J150" s="4" t="n">
        <v>4</v>
      </c>
      <c r="K150" s="4" t="n">
        <f aca="false">I150-J150</f>
        <v>0</v>
      </c>
    </row>
    <row r="151" customFormat="false" ht="15" hidden="false" customHeight="false" outlineLevel="0" collapsed="false">
      <c r="A151" s="4" t="s">
        <v>69</v>
      </c>
      <c r="B151" s="4" t="s">
        <v>70</v>
      </c>
      <c r="C151" s="4" t="s">
        <v>5</v>
      </c>
      <c r="D151" s="4" t="s">
        <v>67</v>
      </c>
      <c r="E151" s="4" t="s">
        <v>68</v>
      </c>
      <c r="F151" s="4" t="n">
        <v>6</v>
      </c>
      <c r="G151" s="4" t="s">
        <v>203</v>
      </c>
      <c r="H151" s="4" t="s">
        <v>202</v>
      </c>
      <c r="I151" s="4" t="n">
        <v>5</v>
      </c>
      <c r="J151" s="4" t="n">
        <v>5</v>
      </c>
      <c r="K151" s="4" t="n">
        <f aca="false">I151-J151</f>
        <v>0</v>
      </c>
    </row>
    <row r="152" customFormat="false" ht="15" hidden="false" customHeight="false" outlineLevel="0" collapsed="false">
      <c r="A152" s="4" t="s">
        <v>69</v>
      </c>
      <c r="B152" s="4" t="s">
        <v>70</v>
      </c>
      <c r="C152" s="4" t="s">
        <v>5</v>
      </c>
      <c r="D152" s="4" t="s">
        <v>67</v>
      </c>
      <c r="E152" s="4" t="s">
        <v>68</v>
      </c>
      <c r="F152" s="4" t="n">
        <v>7</v>
      </c>
      <c r="G152" s="4" t="s">
        <v>204</v>
      </c>
      <c r="H152" s="4" t="s">
        <v>205</v>
      </c>
      <c r="I152" s="4" t="n">
        <v>5</v>
      </c>
      <c r="J152" s="4" t="n">
        <v>5</v>
      </c>
      <c r="K152" s="4" t="n">
        <f aca="false">I152-J152</f>
        <v>0</v>
      </c>
    </row>
    <row r="153" customFormat="false" ht="15" hidden="false" customHeight="false" outlineLevel="0" collapsed="false">
      <c r="A153" s="4" t="s">
        <v>69</v>
      </c>
      <c r="B153" s="4" t="s">
        <v>70</v>
      </c>
      <c r="C153" s="4" t="s">
        <v>5</v>
      </c>
      <c r="D153" s="4" t="s">
        <v>67</v>
      </c>
      <c r="E153" s="4" t="s">
        <v>68</v>
      </c>
      <c r="F153" s="4" t="n">
        <v>8</v>
      </c>
      <c r="G153" s="4" t="s">
        <v>206</v>
      </c>
      <c r="H153" s="4" t="s">
        <v>205</v>
      </c>
      <c r="I153" s="4" t="n">
        <v>4</v>
      </c>
      <c r="J153" s="4" t="n">
        <v>5</v>
      </c>
      <c r="K153" s="4" t="n">
        <f aca="false">I153-J153</f>
        <v>-1</v>
      </c>
    </row>
    <row r="154" customFormat="false" ht="15" hidden="false" customHeight="false" outlineLevel="0" collapsed="false">
      <c r="A154" s="4" t="s">
        <v>69</v>
      </c>
      <c r="B154" s="4" t="s">
        <v>70</v>
      </c>
      <c r="C154" s="4" t="s">
        <v>5</v>
      </c>
      <c r="D154" s="4" t="s">
        <v>67</v>
      </c>
      <c r="E154" s="4" t="s">
        <v>68</v>
      </c>
      <c r="F154" s="4" t="n">
        <v>9</v>
      </c>
      <c r="G154" s="4" t="s">
        <v>207</v>
      </c>
      <c r="H154" s="4" t="s">
        <v>208</v>
      </c>
      <c r="I154" s="4" t="n">
        <v>5</v>
      </c>
      <c r="J154" s="4" t="n">
        <v>4</v>
      </c>
      <c r="K154" s="4" t="n">
        <f aca="false">I154-J154</f>
        <v>1</v>
      </c>
    </row>
    <row r="155" customFormat="false" ht="15" hidden="false" customHeight="false" outlineLevel="0" collapsed="false">
      <c r="A155" s="4" t="s">
        <v>69</v>
      </c>
      <c r="B155" s="4" t="s">
        <v>70</v>
      </c>
      <c r="C155" s="4" t="s">
        <v>5</v>
      </c>
      <c r="D155" s="4" t="s">
        <v>67</v>
      </c>
      <c r="E155" s="4" t="s">
        <v>68</v>
      </c>
      <c r="F155" s="4" t="n">
        <v>10</v>
      </c>
      <c r="G155" s="4" t="s">
        <v>209</v>
      </c>
      <c r="H155" s="4" t="s">
        <v>208</v>
      </c>
      <c r="I155" s="4" t="n">
        <v>5</v>
      </c>
      <c r="J155" s="4" t="n">
        <v>5</v>
      </c>
      <c r="K155" s="4" t="n">
        <f aca="false">I155-J155</f>
        <v>0</v>
      </c>
    </row>
    <row r="156" customFormat="false" ht="15" hidden="false" customHeight="false" outlineLevel="0" collapsed="false">
      <c r="A156" s="4" t="s">
        <v>69</v>
      </c>
      <c r="B156" s="4" t="s">
        <v>70</v>
      </c>
      <c r="C156" s="4" t="s">
        <v>5</v>
      </c>
      <c r="D156" s="4" t="s">
        <v>67</v>
      </c>
      <c r="E156" s="4" t="s">
        <v>68</v>
      </c>
      <c r="F156" s="4" t="n">
        <v>14</v>
      </c>
      <c r="G156" s="4" t="s">
        <v>199</v>
      </c>
      <c r="H156" s="4" t="s">
        <v>200</v>
      </c>
      <c r="I156" s="4" t="n">
        <v>3</v>
      </c>
      <c r="J156" s="4" t="n">
        <v>3</v>
      </c>
      <c r="K156" s="4" t="n">
        <f aca="false">I156-J156</f>
        <v>0</v>
      </c>
    </row>
    <row r="157" customFormat="false" ht="15" hidden="false" customHeight="false" outlineLevel="0" collapsed="false">
      <c r="A157" s="4" t="s">
        <v>71</v>
      </c>
      <c r="B157" s="4" t="s">
        <v>72</v>
      </c>
      <c r="C157" s="4" t="s">
        <v>5</v>
      </c>
      <c r="D157" s="4" t="s">
        <v>67</v>
      </c>
      <c r="E157" s="4" t="s">
        <v>68</v>
      </c>
      <c r="F157" s="4" t="n">
        <v>1</v>
      </c>
      <c r="G157" s="4" t="s">
        <v>191</v>
      </c>
      <c r="H157" s="4" t="s">
        <v>192</v>
      </c>
      <c r="I157" s="4" t="n">
        <v>3</v>
      </c>
      <c r="J157" s="4" t="n">
        <v>3</v>
      </c>
      <c r="K157" s="4" t="n">
        <f aca="false">I157-J157</f>
        <v>0</v>
      </c>
    </row>
    <row r="158" customFormat="false" ht="15" hidden="false" customHeight="false" outlineLevel="0" collapsed="false">
      <c r="A158" s="4" t="s">
        <v>71</v>
      </c>
      <c r="B158" s="4" t="s">
        <v>72</v>
      </c>
      <c r="C158" s="4" t="s">
        <v>5</v>
      </c>
      <c r="D158" s="4" t="s">
        <v>67</v>
      </c>
      <c r="E158" s="4" t="s">
        <v>68</v>
      </c>
      <c r="F158" s="4" t="n">
        <v>2</v>
      </c>
      <c r="G158" s="4" t="s">
        <v>193</v>
      </c>
      <c r="H158" s="4" t="s">
        <v>192</v>
      </c>
      <c r="I158" s="4" t="n">
        <v>3</v>
      </c>
      <c r="J158" s="4" t="n">
        <v>4</v>
      </c>
      <c r="K158" s="4" t="n">
        <f aca="false">I158-J158</f>
        <v>-1</v>
      </c>
    </row>
    <row r="159" customFormat="false" ht="15" hidden="false" customHeight="false" outlineLevel="0" collapsed="false">
      <c r="A159" s="4" t="s">
        <v>71</v>
      </c>
      <c r="B159" s="4" t="s">
        <v>72</v>
      </c>
      <c r="C159" s="4" t="s">
        <v>5</v>
      </c>
      <c r="D159" s="4" t="s">
        <v>67</v>
      </c>
      <c r="E159" s="4" t="s">
        <v>68</v>
      </c>
      <c r="F159" s="4" t="n">
        <v>3</v>
      </c>
      <c r="G159" s="4" t="s">
        <v>194</v>
      </c>
      <c r="H159" s="4" t="s">
        <v>192</v>
      </c>
      <c r="I159" s="4" t="n">
        <v>4</v>
      </c>
      <c r="J159" s="4" t="n">
        <v>4</v>
      </c>
      <c r="K159" s="4" t="n">
        <f aca="false">I159-J159</f>
        <v>0</v>
      </c>
    </row>
    <row r="160" customFormat="false" ht="15" hidden="false" customHeight="false" outlineLevel="0" collapsed="false">
      <c r="A160" s="4" t="s">
        <v>71</v>
      </c>
      <c r="B160" s="4" t="s">
        <v>72</v>
      </c>
      <c r="C160" s="4" t="s">
        <v>5</v>
      </c>
      <c r="D160" s="4" t="s">
        <v>67</v>
      </c>
      <c r="E160" s="4" t="s">
        <v>68</v>
      </c>
      <c r="F160" s="4" t="n">
        <v>5</v>
      </c>
      <c r="G160" s="4" t="s">
        <v>201</v>
      </c>
      <c r="H160" s="4" t="s">
        <v>202</v>
      </c>
      <c r="I160" s="4" t="n">
        <v>5</v>
      </c>
      <c r="J160" s="4" t="n">
        <v>4</v>
      </c>
      <c r="K160" s="4" t="n">
        <f aca="false">I160-J160</f>
        <v>1</v>
      </c>
    </row>
    <row r="161" customFormat="false" ht="15" hidden="false" customHeight="false" outlineLevel="0" collapsed="false">
      <c r="A161" s="4" t="s">
        <v>71</v>
      </c>
      <c r="B161" s="4" t="s">
        <v>72</v>
      </c>
      <c r="C161" s="4" t="s">
        <v>5</v>
      </c>
      <c r="D161" s="4" t="s">
        <v>67</v>
      </c>
      <c r="E161" s="4" t="s">
        <v>68</v>
      </c>
      <c r="F161" s="4" t="n">
        <v>6</v>
      </c>
      <c r="G161" s="4" t="s">
        <v>203</v>
      </c>
      <c r="H161" s="4" t="s">
        <v>202</v>
      </c>
      <c r="I161" s="4" t="n">
        <v>5</v>
      </c>
      <c r="J161" s="4" t="n">
        <v>4</v>
      </c>
      <c r="K161" s="4" t="n">
        <f aca="false">I161-J161</f>
        <v>1</v>
      </c>
    </row>
    <row r="162" customFormat="false" ht="15" hidden="false" customHeight="false" outlineLevel="0" collapsed="false">
      <c r="A162" s="4" t="s">
        <v>71</v>
      </c>
      <c r="B162" s="4" t="s">
        <v>72</v>
      </c>
      <c r="C162" s="4" t="s">
        <v>5</v>
      </c>
      <c r="D162" s="4" t="s">
        <v>67</v>
      </c>
      <c r="E162" s="4" t="s">
        <v>68</v>
      </c>
      <c r="F162" s="4" t="n">
        <v>7</v>
      </c>
      <c r="G162" s="4" t="s">
        <v>204</v>
      </c>
      <c r="H162" s="4" t="s">
        <v>205</v>
      </c>
      <c r="I162" s="4" t="n">
        <v>5</v>
      </c>
      <c r="J162" s="4" t="n">
        <v>5</v>
      </c>
      <c r="K162" s="4" t="n">
        <f aca="false">I162-J162</f>
        <v>0</v>
      </c>
    </row>
    <row r="163" customFormat="false" ht="15" hidden="false" customHeight="false" outlineLevel="0" collapsed="false">
      <c r="A163" s="4" t="s">
        <v>71</v>
      </c>
      <c r="B163" s="4" t="s">
        <v>72</v>
      </c>
      <c r="C163" s="4" t="s">
        <v>5</v>
      </c>
      <c r="D163" s="4" t="s">
        <v>67</v>
      </c>
      <c r="E163" s="4" t="s">
        <v>68</v>
      </c>
      <c r="F163" s="4" t="n">
        <v>8</v>
      </c>
      <c r="G163" s="4" t="s">
        <v>206</v>
      </c>
      <c r="H163" s="4" t="s">
        <v>205</v>
      </c>
      <c r="I163" s="4" t="n">
        <v>5</v>
      </c>
      <c r="J163" s="4" t="n">
        <v>4</v>
      </c>
      <c r="K163" s="4" t="n">
        <f aca="false">I163-J163</f>
        <v>1</v>
      </c>
    </row>
    <row r="164" customFormat="false" ht="15" hidden="false" customHeight="false" outlineLevel="0" collapsed="false">
      <c r="A164" s="4" t="s">
        <v>71</v>
      </c>
      <c r="B164" s="4" t="s">
        <v>72</v>
      </c>
      <c r="C164" s="4" t="s">
        <v>5</v>
      </c>
      <c r="D164" s="4" t="s">
        <v>67</v>
      </c>
      <c r="E164" s="4" t="s">
        <v>68</v>
      </c>
      <c r="F164" s="4" t="n">
        <v>9</v>
      </c>
      <c r="G164" s="4" t="s">
        <v>207</v>
      </c>
      <c r="H164" s="4" t="s">
        <v>208</v>
      </c>
      <c r="I164" s="4" t="n">
        <v>2</v>
      </c>
      <c r="J164" s="4" t="n">
        <v>3</v>
      </c>
      <c r="K164" s="4" t="n">
        <f aca="false">I164-J164</f>
        <v>-1</v>
      </c>
    </row>
    <row r="165" customFormat="false" ht="15" hidden="false" customHeight="false" outlineLevel="0" collapsed="false">
      <c r="A165" s="4" t="s">
        <v>71</v>
      </c>
      <c r="B165" s="4" t="s">
        <v>72</v>
      </c>
      <c r="C165" s="4" t="s">
        <v>5</v>
      </c>
      <c r="D165" s="4" t="s">
        <v>67</v>
      </c>
      <c r="E165" s="4" t="s">
        <v>68</v>
      </c>
      <c r="F165" s="4" t="n">
        <v>10</v>
      </c>
      <c r="G165" s="4" t="s">
        <v>209</v>
      </c>
      <c r="H165" s="4" t="s">
        <v>208</v>
      </c>
      <c r="I165" s="4" t="n">
        <v>5</v>
      </c>
      <c r="J165" s="4" t="n">
        <v>4</v>
      </c>
      <c r="K165" s="4" t="n">
        <f aca="false">I165-J165</f>
        <v>1</v>
      </c>
    </row>
    <row r="166" customFormat="false" ht="15" hidden="false" customHeight="false" outlineLevel="0" collapsed="false">
      <c r="A166" s="4" t="s">
        <v>71</v>
      </c>
      <c r="B166" s="4" t="s">
        <v>72</v>
      </c>
      <c r="C166" s="4" t="s">
        <v>5</v>
      </c>
      <c r="D166" s="4" t="s">
        <v>67</v>
      </c>
      <c r="E166" s="4" t="s">
        <v>68</v>
      </c>
      <c r="F166" s="4" t="n">
        <v>14</v>
      </c>
      <c r="G166" s="4" t="s">
        <v>199</v>
      </c>
      <c r="H166" s="4" t="s">
        <v>200</v>
      </c>
      <c r="I166" s="4" t="n">
        <v>4</v>
      </c>
      <c r="J166" s="4" t="n">
        <v>4</v>
      </c>
      <c r="K166" s="4" t="n">
        <f aca="false">I166-J166</f>
        <v>0</v>
      </c>
    </row>
    <row r="167" customFormat="false" ht="15" hidden="false" customHeight="false" outlineLevel="0" collapsed="false">
      <c r="A167" s="4" t="s">
        <v>73</v>
      </c>
      <c r="B167" s="4" t="s">
        <v>74</v>
      </c>
      <c r="C167" s="4" t="s">
        <v>5</v>
      </c>
      <c r="D167" s="4" t="s">
        <v>67</v>
      </c>
      <c r="E167" s="4" t="s">
        <v>68</v>
      </c>
      <c r="F167" s="4" t="n">
        <v>1</v>
      </c>
      <c r="G167" s="4" t="s">
        <v>191</v>
      </c>
      <c r="H167" s="4" t="s">
        <v>192</v>
      </c>
      <c r="I167" s="4" t="n">
        <v>5</v>
      </c>
      <c r="J167" s="4" t="n">
        <v>4</v>
      </c>
      <c r="K167" s="4" t="n">
        <f aca="false">I167-J167</f>
        <v>1</v>
      </c>
    </row>
    <row r="168" customFormat="false" ht="15" hidden="false" customHeight="false" outlineLevel="0" collapsed="false">
      <c r="A168" s="4" t="s">
        <v>73</v>
      </c>
      <c r="B168" s="4" t="s">
        <v>74</v>
      </c>
      <c r="C168" s="4" t="s">
        <v>5</v>
      </c>
      <c r="D168" s="4" t="s">
        <v>67</v>
      </c>
      <c r="E168" s="4" t="s">
        <v>68</v>
      </c>
      <c r="F168" s="4" t="n">
        <v>2</v>
      </c>
      <c r="G168" s="4" t="s">
        <v>193</v>
      </c>
      <c r="H168" s="4" t="s">
        <v>192</v>
      </c>
      <c r="I168" s="4" t="n">
        <v>4</v>
      </c>
      <c r="J168" s="4" t="n">
        <v>4</v>
      </c>
      <c r="K168" s="4" t="n">
        <f aca="false">I168-J168</f>
        <v>0</v>
      </c>
    </row>
    <row r="169" customFormat="false" ht="15" hidden="false" customHeight="false" outlineLevel="0" collapsed="false">
      <c r="A169" s="4" t="s">
        <v>73</v>
      </c>
      <c r="B169" s="4" t="s">
        <v>74</v>
      </c>
      <c r="C169" s="4" t="s">
        <v>5</v>
      </c>
      <c r="D169" s="4" t="s">
        <v>67</v>
      </c>
      <c r="E169" s="4" t="s">
        <v>68</v>
      </c>
      <c r="F169" s="4" t="n">
        <v>3</v>
      </c>
      <c r="G169" s="4" t="s">
        <v>194</v>
      </c>
      <c r="H169" s="4" t="s">
        <v>192</v>
      </c>
      <c r="I169" s="4" t="n">
        <v>2</v>
      </c>
      <c r="J169" s="4" t="n">
        <v>3</v>
      </c>
      <c r="K169" s="4" t="n">
        <f aca="false">I169-J169</f>
        <v>-1</v>
      </c>
    </row>
    <row r="170" customFormat="false" ht="15" hidden="false" customHeight="false" outlineLevel="0" collapsed="false">
      <c r="A170" s="4" t="s">
        <v>73</v>
      </c>
      <c r="B170" s="4" t="s">
        <v>74</v>
      </c>
      <c r="C170" s="4" t="s">
        <v>5</v>
      </c>
      <c r="D170" s="4" t="s">
        <v>67</v>
      </c>
      <c r="E170" s="4" t="s">
        <v>68</v>
      </c>
      <c r="F170" s="4" t="n">
        <v>5</v>
      </c>
      <c r="G170" s="4" t="s">
        <v>201</v>
      </c>
      <c r="H170" s="4" t="s">
        <v>202</v>
      </c>
      <c r="I170" s="4" t="n">
        <v>5</v>
      </c>
      <c r="J170" s="4" t="n">
        <v>4</v>
      </c>
      <c r="K170" s="4" t="n">
        <f aca="false">I170-J170</f>
        <v>1</v>
      </c>
    </row>
    <row r="171" customFormat="false" ht="15" hidden="false" customHeight="false" outlineLevel="0" collapsed="false">
      <c r="A171" s="4" t="s">
        <v>73</v>
      </c>
      <c r="B171" s="4" t="s">
        <v>74</v>
      </c>
      <c r="C171" s="4" t="s">
        <v>5</v>
      </c>
      <c r="D171" s="4" t="s">
        <v>67</v>
      </c>
      <c r="E171" s="4" t="s">
        <v>68</v>
      </c>
      <c r="F171" s="4" t="n">
        <v>6</v>
      </c>
      <c r="G171" s="4" t="s">
        <v>203</v>
      </c>
      <c r="H171" s="4" t="s">
        <v>202</v>
      </c>
      <c r="I171" s="4" t="n">
        <v>4</v>
      </c>
      <c r="J171" s="4" t="n">
        <v>3</v>
      </c>
      <c r="K171" s="4" t="n">
        <f aca="false">I171-J171</f>
        <v>1</v>
      </c>
    </row>
    <row r="172" customFormat="false" ht="15" hidden="false" customHeight="false" outlineLevel="0" collapsed="false">
      <c r="A172" s="4" t="s">
        <v>73</v>
      </c>
      <c r="B172" s="4" t="s">
        <v>74</v>
      </c>
      <c r="C172" s="4" t="s">
        <v>5</v>
      </c>
      <c r="D172" s="4" t="s">
        <v>67</v>
      </c>
      <c r="E172" s="4" t="s">
        <v>68</v>
      </c>
      <c r="F172" s="4" t="n">
        <v>7</v>
      </c>
      <c r="G172" s="4" t="s">
        <v>204</v>
      </c>
      <c r="H172" s="4" t="s">
        <v>205</v>
      </c>
      <c r="I172" s="4" t="n">
        <v>4</v>
      </c>
      <c r="J172" s="4" t="n">
        <v>4</v>
      </c>
      <c r="K172" s="4" t="n">
        <f aca="false">I172-J172</f>
        <v>0</v>
      </c>
    </row>
    <row r="173" customFormat="false" ht="15" hidden="false" customHeight="false" outlineLevel="0" collapsed="false">
      <c r="A173" s="4" t="s">
        <v>73</v>
      </c>
      <c r="B173" s="4" t="s">
        <v>74</v>
      </c>
      <c r="C173" s="4" t="s">
        <v>5</v>
      </c>
      <c r="D173" s="4" t="s">
        <v>67</v>
      </c>
      <c r="E173" s="4" t="s">
        <v>68</v>
      </c>
      <c r="F173" s="4" t="n">
        <v>8</v>
      </c>
      <c r="G173" s="4" t="s">
        <v>206</v>
      </c>
      <c r="H173" s="4" t="s">
        <v>205</v>
      </c>
      <c r="I173" s="4" t="n">
        <v>3</v>
      </c>
      <c r="J173" s="4" t="n">
        <v>4</v>
      </c>
      <c r="K173" s="4" t="n">
        <f aca="false">I173-J173</f>
        <v>-1</v>
      </c>
    </row>
    <row r="174" customFormat="false" ht="15" hidden="false" customHeight="false" outlineLevel="0" collapsed="false">
      <c r="A174" s="4" t="s">
        <v>73</v>
      </c>
      <c r="B174" s="4" t="s">
        <v>74</v>
      </c>
      <c r="C174" s="4" t="s">
        <v>5</v>
      </c>
      <c r="D174" s="4" t="s">
        <v>67</v>
      </c>
      <c r="E174" s="4" t="s">
        <v>68</v>
      </c>
      <c r="F174" s="4" t="n">
        <v>9</v>
      </c>
      <c r="G174" s="4" t="s">
        <v>207</v>
      </c>
      <c r="H174" s="4" t="s">
        <v>208</v>
      </c>
      <c r="I174" s="4" t="n">
        <v>2</v>
      </c>
      <c r="J174" s="4" t="n">
        <v>3</v>
      </c>
      <c r="K174" s="4" t="n">
        <f aca="false">I174-J174</f>
        <v>-1</v>
      </c>
    </row>
    <row r="175" customFormat="false" ht="15" hidden="false" customHeight="false" outlineLevel="0" collapsed="false">
      <c r="A175" s="4" t="s">
        <v>73</v>
      </c>
      <c r="B175" s="4" t="s">
        <v>74</v>
      </c>
      <c r="C175" s="4" t="s">
        <v>5</v>
      </c>
      <c r="D175" s="4" t="s">
        <v>67</v>
      </c>
      <c r="E175" s="4" t="s">
        <v>68</v>
      </c>
      <c r="F175" s="4" t="n">
        <v>10</v>
      </c>
      <c r="G175" s="4" t="s">
        <v>209</v>
      </c>
      <c r="H175" s="4" t="s">
        <v>208</v>
      </c>
      <c r="I175" s="4" t="n">
        <v>5</v>
      </c>
      <c r="J175" s="4" t="n">
        <v>4</v>
      </c>
      <c r="K175" s="4" t="n">
        <f aca="false">I175-J175</f>
        <v>1</v>
      </c>
    </row>
    <row r="176" customFormat="false" ht="15" hidden="false" customHeight="false" outlineLevel="0" collapsed="false">
      <c r="A176" s="4" t="s">
        <v>73</v>
      </c>
      <c r="B176" s="4" t="s">
        <v>74</v>
      </c>
      <c r="C176" s="4" t="s">
        <v>5</v>
      </c>
      <c r="D176" s="4" t="s">
        <v>67</v>
      </c>
      <c r="E176" s="4" t="s">
        <v>68</v>
      </c>
      <c r="F176" s="4" t="n">
        <v>14</v>
      </c>
      <c r="G176" s="4" t="s">
        <v>199</v>
      </c>
      <c r="H176" s="4" t="s">
        <v>200</v>
      </c>
      <c r="I176" s="4" t="n">
        <v>3</v>
      </c>
      <c r="J176" s="4" t="n">
        <v>3</v>
      </c>
      <c r="K176" s="4" t="n">
        <f aca="false">I176-J176</f>
        <v>0</v>
      </c>
    </row>
    <row r="177" customFormat="false" ht="15" hidden="false" customHeight="false" outlineLevel="0" collapsed="false">
      <c r="A177" s="4" t="s">
        <v>75</v>
      </c>
      <c r="B177" s="4" t="s">
        <v>76</v>
      </c>
      <c r="C177" s="4" t="s">
        <v>5</v>
      </c>
      <c r="D177" s="4" t="s">
        <v>67</v>
      </c>
      <c r="E177" s="4" t="s">
        <v>68</v>
      </c>
      <c r="F177" s="4" t="n">
        <v>1</v>
      </c>
      <c r="G177" s="4" t="s">
        <v>191</v>
      </c>
      <c r="H177" s="4" t="s">
        <v>192</v>
      </c>
      <c r="I177" s="4" t="n">
        <v>5</v>
      </c>
      <c r="J177" s="4" t="n">
        <v>4</v>
      </c>
      <c r="K177" s="4" t="n">
        <f aca="false">I177-J177</f>
        <v>1</v>
      </c>
    </row>
    <row r="178" customFormat="false" ht="15" hidden="false" customHeight="false" outlineLevel="0" collapsed="false">
      <c r="A178" s="4" t="s">
        <v>75</v>
      </c>
      <c r="B178" s="4" t="s">
        <v>76</v>
      </c>
      <c r="C178" s="4" t="s">
        <v>5</v>
      </c>
      <c r="D178" s="4" t="s">
        <v>67</v>
      </c>
      <c r="E178" s="4" t="s">
        <v>68</v>
      </c>
      <c r="F178" s="4" t="n">
        <v>2</v>
      </c>
      <c r="G178" s="4" t="s">
        <v>193</v>
      </c>
      <c r="H178" s="4" t="s">
        <v>192</v>
      </c>
      <c r="I178" s="4" t="n">
        <v>5</v>
      </c>
      <c r="J178" s="4" t="n">
        <v>5</v>
      </c>
      <c r="K178" s="4" t="n">
        <f aca="false">I178-J178</f>
        <v>0</v>
      </c>
    </row>
    <row r="179" customFormat="false" ht="15" hidden="false" customHeight="false" outlineLevel="0" collapsed="false">
      <c r="A179" s="4" t="s">
        <v>75</v>
      </c>
      <c r="B179" s="4" t="s">
        <v>76</v>
      </c>
      <c r="C179" s="4" t="s">
        <v>5</v>
      </c>
      <c r="D179" s="4" t="s">
        <v>67</v>
      </c>
      <c r="E179" s="4" t="s">
        <v>68</v>
      </c>
      <c r="F179" s="4" t="n">
        <v>3</v>
      </c>
      <c r="G179" s="4" t="s">
        <v>194</v>
      </c>
      <c r="H179" s="4" t="s">
        <v>192</v>
      </c>
      <c r="I179" s="4" t="n">
        <v>5</v>
      </c>
      <c r="J179" s="4" t="n">
        <v>4</v>
      </c>
      <c r="K179" s="4" t="n">
        <f aca="false">I179-J179</f>
        <v>1</v>
      </c>
    </row>
    <row r="180" customFormat="false" ht="15" hidden="false" customHeight="false" outlineLevel="0" collapsed="false">
      <c r="A180" s="4" t="s">
        <v>75</v>
      </c>
      <c r="B180" s="4" t="s">
        <v>76</v>
      </c>
      <c r="C180" s="4" t="s">
        <v>5</v>
      </c>
      <c r="D180" s="4" t="s">
        <v>67</v>
      </c>
      <c r="E180" s="4" t="s">
        <v>68</v>
      </c>
      <c r="F180" s="4" t="n">
        <v>5</v>
      </c>
      <c r="G180" s="4" t="s">
        <v>201</v>
      </c>
      <c r="H180" s="4" t="s">
        <v>202</v>
      </c>
      <c r="I180" s="4" t="n">
        <v>5</v>
      </c>
      <c r="J180" s="4" t="n">
        <v>5</v>
      </c>
      <c r="K180" s="4" t="n">
        <f aca="false">I180-J180</f>
        <v>0</v>
      </c>
    </row>
    <row r="181" customFormat="false" ht="15" hidden="false" customHeight="false" outlineLevel="0" collapsed="false">
      <c r="A181" s="4" t="s">
        <v>75</v>
      </c>
      <c r="B181" s="4" t="s">
        <v>76</v>
      </c>
      <c r="C181" s="4" t="s">
        <v>5</v>
      </c>
      <c r="D181" s="4" t="s">
        <v>67</v>
      </c>
      <c r="E181" s="4" t="s">
        <v>68</v>
      </c>
      <c r="F181" s="4" t="n">
        <v>6</v>
      </c>
      <c r="G181" s="4" t="s">
        <v>203</v>
      </c>
      <c r="H181" s="4" t="s">
        <v>202</v>
      </c>
      <c r="I181" s="4" t="n">
        <v>5</v>
      </c>
      <c r="J181" s="4" t="n">
        <v>5</v>
      </c>
      <c r="K181" s="4" t="n">
        <f aca="false">I181-J181</f>
        <v>0</v>
      </c>
    </row>
    <row r="182" customFormat="false" ht="15" hidden="false" customHeight="false" outlineLevel="0" collapsed="false">
      <c r="A182" s="4" t="s">
        <v>75</v>
      </c>
      <c r="B182" s="4" t="s">
        <v>76</v>
      </c>
      <c r="C182" s="4" t="s">
        <v>5</v>
      </c>
      <c r="D182" s="4" t="s">
        <v>67</v>
      </c>
      <c r="E182" s="4" t="s">
        <v>68</v>
      </c>
      <c r="F182" s="4" t="n">
        <v>7</v>
      </c>
      <c r="G182" s="4" t="s">
        <v>204</v>
      </c>
      <c r="H182" s="4" t="s">
        <v>205</v>
      </c>
      <c r="I182" s="4" t="n">
        <v>5</v>
      </c>
      <c r="J182" s="4" t="n">
        <v>5</v>
      </c>
      <c r="K182" s="4" t="n">
        <f aca="false">I182-J182</f>
        <v>0</v>
      </c>
    </row>
    <row r="183" customFormat="false" ht="15" hidden="false" customHeight="false" outlineLevel="0" collapsed="false">
      <c r="A183" s="4" t="s">
        <v>75</v>
      </c>
      <c r="B183" s="4" t="s">
        <v>76</v>
      </c>
      <c r="C183" s="4" t="s">
        <v>5</v>
      </c>
      <c r="D183" s="4" t="s">
        <v>67</v>
      </c>
      <c r="E183" s="4" t="s">
        <v>68</v>
      </c>
      <c r="F183" s="4" t="n">
        <v>8</v>
      </c>
      <c r="G183" s="4" t="s">
        <v>206</v>
      </c>
      <c r="H183" s="4" t="s">
        <v>205</v>
      </c>
      <c r="I183" s="4" t="n">
        <v>4</v>
      </c>
      <c r="J183" s="4" t="n">
        <v>4</v>
      </c>
      <c r="K183" s="4" t="n">
        <f aca="false">I183-J183</f>
        <v>0</v>
      </c>
    </row>
    <row r="184" customFormat="false" ht="15" hidden="false" customHeight="false" outlineLevel="0" collapsed="false">
      <c r="A184" s="4" t="s">
        <v>75</v>
      </c>
      <c r="B184" s="4" t="s">
        <v>76</v>
      </c>
      <c r="C184" s="4" t="s">
        <v>5</v>
      </c>
      <c r="D184" s="4" t="s">
        <v>67</v>
      </c>
      <c r="E184" s="4" t="s">
        <v>68</v>
      </c>
      <c r="F184" s="4" t="n">
        <v>9</v>
      </c>
      <c r="G184" s="4" t="s">
        <v>207</v>
      </c>
      <c r="H184" s="4" t="s">
        <v>208</v>
      </c>
      <c r="I184" s="4" t="n">
        <v>5</v>
      </c>
      <c r="J184" s="4" t="n">
        <v>5</v>
      </c>
      <c r="K184" s="4" t="n">
        <f aca="false">I184-J184</f>
        <v>0</v>
      </c>
    </row>
    <row r="185" customFormat="false" ht="15" hidden="false" customHeight="false" outlineLevel="0" collapsed="false">
      <c r="A185" s="4" t="s">
        <v>75</v>
      </c>
      <c r="B185" s="4" t="s">
        <v>76</v>
      </c>
      <c r="C185" s="4" t="s">
        <v>5</v>
      </c>
      <c r="D185" s="4" t="s">
        <v>67</v>
      </c>
      <c r="E185" s="4" t="s">
        <v>68</v>
      </c>
      <c r="F185" s="4" t="n">
        <v>10</v>
      </c>
      <c r="G185" s="4" t="s">
        <v>209</v>
      </c>
      <c r="H185" s="4" t="s">
        <v>208</v>
      </c>
      <c r="I185" s="4" t="n">
        <v>5</v>
      </c>
      <c r="J185" s="4" t="n">
        <v>5</v>
      </c>
      <c r="K185" s="4" t="n">
        <f aca="false">I185-J185</f>
        <v>0</v>
      </c>
    </row>
    <row r="186" customFormat="false" ht="15" hidden="false" customHeight="false" outlineLevel="0" collapsed="false">
      <c r="A186" s="4" t="s">
        <v>75</v>
      </c>
      <c r="B186" s="4" t="s">
        <v>76</v>
      </c>
      <c r="C186" s="4" t="s">
        <v>5</v>
      </c>
      <c r="D186" s="4" t="s">
        <v>67</v>
      </c>
      <c r="E186" s="4" t="s">
        <v>68</v>
      </c>
      <c r="F186" s="4" t="n">
        <v>14</v>
      </c>
      <c r="G186" s="4" t="s">
        <v>199</v>
      </c>
      <c r="H186" s="4" t="s">
        <v>200</v>
      </c>
      <c r="I186" s="4" t="n">
        <v>5</v>
      </c>
      <c r="J186" s="4" t="n">
        <v>5</v>
      </c>
      <c r="K186" s="4" t="n">
        <f aca="false">I186-J186</f>
        <v>0</v>
      </c>
    </row>
    <row r="187" customFormat="false" ht="15" hidden="false" customHeight="false" outlineLevel="0" collapsed="false">
      <c r="A187" s="4" t="s">
        <v>77</v>
      </c>
      <c r="B187" s="4" t="s">
        <v>78</v>
      </c>
      <c r="C187" s="4" t="s">
        <v>7</v>
      </c>
      <c r="D187" s="4" t="s">
        <v>79</v>
      </c>
      <c r="E187" s="4" t="s">
        <v>68</v>
      </c>
      <c r="F187" s="4" t="n">
        <v>1</v>
      </c>
      <c r="G187" s="4" t="s">
        <v>191</v>
      </c>
      <c r="H187" s="4" t="s">
        <v>192</v>
      </c>
      <c r="I187" s="4" t="n">
        <v>5</v>
      </c>
      <c r="J187" s="4" t="n">
        <v>5</v>
      </c>
      <c r="K187" s="4" t="n">
        <f aca="false">I187-J187</f>
        <v>0</v>
      </c>
    </row>
    <row r="188" customFormat="false" ht="15" hidden="false" customHeight="false" outlineLevel="0" collapsed="false">
      <c r="A188" s="4" t="s">
        <v>77</v>
      </c>
      <c r="B188" s="4" t="s">
        <v>78</v>
      </c>
      <c r="C188" s="4" t="s">
        <v>7</v>
      </c>
      <c r="D188" s="4" t="s">
        <v>79</v>
      </c>
      <c r="E188" s="4" t="s">
        <v>68</v>
      </c>
      <c r="F188" s="4" t="n">
        <v>2</v>
      </c>
      <c r="G188" s="4" t="s">
        <v>193</v>
      </c>
      <c r="H188" s="4" t="s">
        <v>192</v>
      </c>
      <c r="I188" s="4" t="n">
        <v>5</v>
      </c>
      <c r="J188" s="4" t="n">
        <v>5</v>
      </c>
      <c r="K188" s="4" t="n">
        <f aca="false">I188-J188</f>
        <v>0</v>
      </c>
    </row>
    <row r="189" customFormat="false" ht="15" hidden="false" customHeight="false" outlineLevel="0" collapsed="false">
      <c r="A189" s="4" t="s">
        <v>77</v>
      </c>
      <c r="B189" s="4" t="s">
        <v>78</v>
      </c>
      <c r="C189" s="4" t="s">
        <v>7</v>
      </c>
      <c r="D189" s="4" t="s">
        <v>79</v>
      </c>
      <c r="E189" s="4" t="s">
        <v>68</v>
      </c>
      <c r="F189" s="4" t="n">
        <v>3</v>
      </c>
      <c r="G189" s="4" t="s">
        <v>194</v>
      </c>
      <c r="H189" s="4" t="s">
        <v>192</v>
      </c>
      <c r="I189" s="4" t="n">
        <v>5</v>
      </c>
      <c r="J189" s="4" t="n">
        <v>5</v>
      </c>
      <c r="K189" s="4" t="n">
        <f aca="false">I189-J189</f>
        <v>0</v>
      </c>
    </row>
    <row r="190" customFormat="false" ht="15" hidden="false" customHeight="false" outlineLevel="0" collapsed="false">
      <c r="A190" s="4" t="s">
        <v>77</v>
      </c>
      <c r="B190" s="4" t="s">
        <v>78</v>
      </c>
      <c r="C190" s="4" t="s">
        <v>7</v>
      </c>
      <c r="D190" s="4" t="s">
        <v>79</v>
      </c>
      <c r="E190" s="4" t="s">
        <v>68</v>
      </c>
      <c r="F190" s="4" t="n">
        <v>11</v>
      </c>
      <c r="G190" s="4" t="s">
        <v>195</v>
      </c>
      <c r="H190" s="4" t="s">
        <v>196</v>
      </c>
      <c r="I190" s="4" t="n">
        <v>4</v>
      </c>
      <c r="J190" s="4" t="n">
        <v>3</v>
      </c>
      <c r="K190" s="4" t="n">
        <f aca="false">I190-J190</f>
        <v>1</v>
      </c>
    </row>
    <row r="191" customFormat="false" ht="15" hidden="false" customHeight="false" outlineLevel="0" collapsed="false">
      <c r="A191" s="4" t="s">
        <v>77</v>
      </c>
      <c r="B191" s="4" t="s">
        <v>78</v>
      </c>
      <c r="C191" s="4" t="s">
        <v>7</v>
      </c>
      <c r="D191" s="4" t="s">
        <v>79</v>
      </c>
      <c r="E191" s="4" t="s">
        <v>68</v>
      </c>
      <c r="F191" s="4" t="n">
        <v>12</v>
      </c>
      <c r="G191" s="4" t="s">
        <v>197</v>
      </c>
      <c r="H191" s="4" t="s">
        <v>196</v>
      </c>
      <c r="I191" s="4" t="n">
        <v>5</v>
      </c>
      <c r="J191" s="4" t="n">
        <v>4</v>
      </c>
      <c r="K191" s="4" t="n">
        <f aca="false">I191-J191</f>
        <v>1</v>
      </c>
    </row>
    <row r="192" customFormat="false" ht="15" hidden="false" customHeight="false" outlineLevel="0" collapsed="false">
      <c r="A192" s="4" t="s">
        <v>77</v>
      </c>
      <c r="B192" s="4" t="s">
        <v>78</v>
      </c>
      <c r="C192" s="4" t="s">
        <v>7</v>
      </c>
      <c r="D192" s="4" t="s">
        <v>79</v>
      </c>
      <c r="E192" s="4" t="s">
        <v>68</v>
      </c>
      <c r="F192" s="4" t="n">
        <v>13</v>
      </c>
      <c r="G192" s="4" t="s">
        <v>198</v>
      </c>
      <c r="H192" s="4" t="s">
        <v>196</v>
      </c>
      <c r="I192" s="4" t="n">
        <v>5</v>
      </c>
      <c r="J192" s="4" t="n">
        <v>5</v>
      </c>
      <c r="K192" s="4" t="n">
        <f aca="false">I192-J192</f>
        <v>0</v>
      </c>
    </row>
    <row r="193" customFormat="false" ht="15" hidden="false" customHeight="false" outlineLevel="0" collapsed="false">
      <c r="A193" s="4" t="s">
        <v>77</v>
      </c>
      <c r="B193" s="4" t="s">
        <v>78</v>
      </c>
      <c r="C193" s="4" t="s">
        <v>7</v>
      </c>
      <c r="D193" s="4" t="s">
        <v>79</v>
      </c>
      <c r="E193" s="4" t="s">
        <v>68</v>
      </c>
      <c r="F193" s="4" t="n">
        <v>14</v>
      </c>
      <c r="G193" s="4" t="s">
        <v>199</v>
      </c>
      <c r="H193" s="4" t="s">
        <v>200</v>
      </c>
      <c r="I193" s="4" t="n">
        <v>5</v>
      </c>
      <c r="J193" s="4" t="n">
        <v>5</v>
      </c>
      <c r="K193" s="4" t="n">
        <f aca="false">I193-J193</f>
        <v>0</v>
      </c>
    </row>
    <row r="194" customFormat="false" ht="15" hidden="false" customHeight="false" outlineLevel="0" collapsed="false">
      <c r="A194" s="4" t="s">
        <v>80</v>
      </c>
      <c r="B194" s="4" t="s">
        <v>81</v>
      </c>
      <c r="C194" s="4" t="s">
        <v>5</v>
      </c>
      <c r="D194" s="4" t="s">
        <v>79</v>
      </c>
      <c r="E194" s="4" t="s">
        <v>68</v>
      </c>
      <c r="F194" s="4" t="n">
        <v>1</v>
      </c>
      <c r="G194" s="4" t="s">
        <v>191</v>
      </c>
      <c r="H194" s="4" t="s">
        <v>192</v>
      </c>
      <c r="I194" s="4" t="n">
        <v>5</v>
      </c>
      <c r="J194" s="4" t="n">
        <v>5</v>
      </c>
      <c r="K194" s="4" t="n">
        <f aca="false">I194-J194</f>
        <v>0</v>
      </c>
    </row>
    <row r="195" customFormat="false" ht="15" hidden="false" customHeight="false" outlineLevel="0" collapsed="false">
      <c r="A195" s="4" t="s">
        <v>80</v>
      </c>
      <c r="B195" s="4" t="s">
        <v>81</v>
      </c>
      <c r="C195" s="4" t="s">
        <v>5</v>
      </c>
      <c r="D195" s="4" t="s">
        <v>79</v>
      </c>
      <c r="E195" s="4" t="s">
        <v>68</v>
      </c>
      <c r="F195" s="4" t="n">
        <v>2</v>
      </c>
      <c r="G195" s="4" t="s">
        <v>193</v>
      </c>
      <c r="H195" s="4" t="s">
        <v>192</v>
      </c>
      <c r="I195" s="4" t="n">
        <v>4</v>
      </c>
      <c r="J195" s="4" t="n">
        <v>5</v>
      </c>
      <c r="K195" s="4" t="n">
        <f aca="false">I195-J195</f>
        <v>-1</v>
      </c>
    </row>
    <row r="196" customFormat="false" ht="15" hidden="false" customHeight="false" outlineLevel="0" collapsed="false">
      <c r="A196" s="4" t="s">
        <v>80</v>
      </c>
      <c r="B196" s="4" t="s">
        <v>81</v>
      </c>
      <c r="C196" s="4" t="s">
        <v>5</v>
      </c>
      <c r="D196" s="4" t="s">
        <v>79</v>
      </c>
      <c r="E196" s="4" t="s">
        <v>68</v>
      </c>
      <c r="F196" s="4" t="n">
        <v>3</v>
      </c>
      <c r="G196" s="4" t="s">
        <v>194</v>
      </c>
      <c r="H196" s="4" t="s">
        <v>192</v>
      </c>
      <c r="I196" s="4" t="n">
        <v>5</v>
      </c>
      <c r="J196" s="4" t="n">
        <v>5</v>
      </c>
      <c r="K196" s="4" t="n">
        <f aca="false">I196-J196</f>
        <v>0</v>
      </c>
    </row>
    <row r="197" customFormat="false" ht="15" hidden="false" customHeight="false" outlineLevel="0" collapsed="false">
      <c r="A197" s="4" t="s">
        <v>80</v>
      </c>
      <c r="B197" s="4" t="s">
        <v>81</v>
      </c>
      <c r="C197" s="4" t="s">
        <v>5</v>
      </c>
      <c r="D197" s="4" t="s">
        <v>79</v>
      </c>
      <c r="E197" s="4" t="s">
        <v>68</v>
      </c>
      <c r="F197" s="4" t="n">
        <v>5</v>
      </c>
      <c r="G197" s="4" t="s">
        <v>201</v>
      </c>
      <c r="H197" s="4" t="s">
        <v>202</v>
      </c>
      <c r="I197" s="4" t="n">
        <v>4</v>
      </c>
      <c r="J197" s="4" t="n">
        <v>4</v>
      </c>
      <c r="K197" s="4" t="n">
        <f aca="false">I197-J197</f>
        <v>0</v>
      </c>
    </row>
    <row r="198" customFormat="false" ht="15" hidden="false" customHeight="false" outlineLevel="0" collapsed="false">
      <c r="A198" s="4" t="s">
        <v>80</v>
      </c>
      <c r="B198" s="4" t="s">
        <v>81</v>
      </c>
      <c r="C198" s="4" t="s">
        <v>5</v>
      </c>
      <c r="D198" s="4" t="s">
        <v>79</v>
      </c>
      <c r="E198" s="4" t="s">
        <v>68</v>
      </c>
      <c r="F198" s="4" t="n">
        <v>6</v>
      </c>
      <c r="G198" s="4" t="s">
        <v>203</v>
      </c>
      <c r="H198" s="4" t="s">
        <v>202</v>
      </c>
      <c r="I198" s="4" t="n">
        <v>5</v>
      </c>
      <c r="J198" s="4" t="n">
        <v>5</v>
      </c>
      <c r="K198" s="4" t="n">
        <f aca="false">I198-J198</f>
        <v>0</v>
      </c>
    </row>
    <row r="199" customFormat="false" ht="15" hidden="false" customHeight="false" outlineLevel="0" collapsed="false">
      <c r="A199" s="4" t="s">
        <v>80</v>
      </c>
      <c r="B199" s="4" t="s">
        <v>81</v>
      </c>
      <c r="C199" s="4" t="s">
        <v>5</v>
      </c>
      <c r="D199" s="4" t="s">
        <v>79</v>
      </c>
      <c r="E199" s="4" t="s">
        <v>68</v>
      </c>
      <c r="F199" s="4" t="n">
        <v>7</v>
      </c>
      <c r="G199" s="4" t="s">
        <v>204</v>
      </c>
      <c r="H199" s="4" t="s">
        <v>205</v>
      </c>
      <c r="I199" s="4" t="n">
        <v>5</v>
      </c>
      <c r="J199" s="4" t="n">
        <v>5</v>
      </c>
      <c r="K199" s="4" t="n">
        <f aca="false">I199-J199</f>
        <v>0</v>
      </c>
    </row>
    <row r="200" customFormat="false" ht="15" hidden="false" customHeight="false" outlineLevel="0" collapsed="false">
      <c r="A200" s="4" t="s">
        <v>80</v>
      </c>
      <c r="B200" s="4" t="s">
        <v>81</v>
      </c>
      <c r="C200" s="4" t="s">
        <v>5</v>
      </c>
      <c r="D200" s="4" t="s">
        <v>79</v>
      </c>
      <c r="E200" s="4" t="s">
        <v>68</v>
      </c>
      <c r="F200" s="4" t="n">
        <v>8</v>
      </c>
      <c r="G200" s="4" t="s">
        <v>206</v>
      </c>
      <c r="H200" s="4" t="s">
        <v>205</v>
      </c>
      <c r="I200" s="4" t="n">
        <v>5</v>
      </c>
      <c r="J200" s="4" t="n">
        <v>5</v>
      </c>
      <c r="K200" s="4" t="n">
        <f aca="false">I200-J200</f>
        <v>0</v>
      </c>
    </row>
    <row r="201" customFormat="false" ht="15" hidden="false" customHeight="false" outlineLevel="0" collapsed="false">
      <c r="A201" s="4" t="s">
        <v>80</v>
      </c>
      <c r="B201" s="4" t="s">
        <v>81</v>
      </c>
      <c r="C201" s="4" t="s">
        <v>5</v>
      </c>
      <c r="D201" s="4" t="s">
        <v>79</v>
      </c>
      <c r="E201" s="4" t="s">
        <v>68</v>
      </c>
      <c r="F201" s="4" t="n">
        <v>9</v>
      </c>
      <c r="G201" s="4" t="s">
        <v>207</v>
      </c>
      <c r="H201" s="4" t="s">
        <v>208</v>
      </c>
      <c r="I201" s="4" t="n">
        <v>4</v>
      </c>
      <c r="J201" s="4" t="n">
        <v>4</v>
      </c>
      <c r="K201" s="4" t="n">
        <f aca="false">I201-J201</f>
        <v>0</v>
      </c>
    </row>
    <row r="202" customFormat="false" ht="15" hidden="false" customHeight="false" outlineLevel="0" collapsed="false">
      <c r="A202" s="4" t="s">
        <v>80</v>
      </c>
      <c r="B202" s="4" t="s">
        <v>81</v>
      </c>
      <c r="C202" s="4" t="s">
        <v>5</v>
      </c>
      <c r="D202" s="4" t="s">
        <v>79</v>
      </c>
      <c r="E202" s="4" t="s">
        <v>68</v>
      </c>
      <c r="F202" s="4" t="n">
        <v>10</v>
      </c>
      <c r="G202" s="4" t="s">
        <v>209</v>
      </c>
      <c r="H202" s="4" t="s">
        <v>208</v>
      </c>
      <c r="I202" s="4" t="n">
        <v>5</v>
      </c>
      <c r="J202" s="4" t="n">
        <v>5</v>
      </c>
      <c r="K202" s="4" t="n">
        <f aca="false">I202-J202</f>
        <v>0</v>
      </c>
    </row>
    <row r="203" customFormat="false" ht="15" hidden="false" customHeight="false" outlineLevel="0" collapsed="false">
      <c r="A203" s="4" t="s">
        <v>80</v>
      </c>
      <c r="B203" s="4" t="s">
        <v>81</v>
      </c>
      <c r="C203" s="4" t="s">
        <v>5</v>
      </c>
      <c r="D203" s="4" t="s">
        <v>79</v>
      </c>
      <c r="E203" s="4" t="s">
        <v>68</v>
      </c>
      <c r="F203" s="4" t="n">
        <v>14</v>
      </c>
      <c r="G203" s="4" t="s">
        <v>199</v>
      </c>
      <c r="H203" s="4" t="s">
        <v>200</v>
      </c>
      <c r="I203" s="4" t="n">
        <v>5</v>
      </c>
      <c r="J203" s="4" t="n">
        <v>5</v>
      </c>
      <c r="K203" s="4" t="n">
        <f aca="false">I203-J203</f>
        <v>0</v>
      </c>
    </row>
    <row r="204" customFormat="false" ht="15" hidden="false" customHeight="false" outlineLevel="0" collapsed="false">
      <c r="A204" s="4" t="s">
        <v>82</v>
      </c>
      <c r="B204" s="4" t="s">
        <v>83</v>
      </c>
      <c r="C204" s="4" t="s">
        <v>5</v>
      </c>
      <c r="D204" s="4" t="s">
        <v>79</v>
      </c>
      <c r="E204" s="4" t="s">
        <v>68</v>
      </c>
      <c r="F204" s="4" t="n">
        <v>1</v>
      </c>
      <c r="G204" s="4" t="s">
        <v>191</v>
      </c>
      <c r="H204" s="4" t="s">
        <v>192</v>
      </c>
      <c r="I204" s="4" t="n">
        <v>5</v>
      </c>
      <c r="J204" s="4" t="n">
        <v>5</v>
      </c>
      <c r="K204" s="4" t="n">
        <f aca="false">I204-J204</f>
        <v>0</v>
      </c>
    </row>
    <row r="205" customFormat="false" ht="15" hidden="false" customHeight="false" outlineLevel="0" collapsed="false">
      <c r="A205" s="4" t="s">
        <v>82</v>
      </c>
      <c r="B205" s="4" t="s">
        <v>83</v>
      </c>
      <c r="C205" s="4" t="s">
        <v>5</v>
      </c>
      <c r="D205" s="4" t="s">
        <v>79</v>
      </c>
      <c r="E205" s="4" t="s">
        <v>68</v>
      </c>
      <c r="F205" s="4" t="n">
        <v>2</v>
      </c>
      <c r="G205" s="4" t="s">
        <v>193</v>
      </c>
      <c r="H205" s="4" t="s">
        <v>192</v>
      </c>
      <c r="I205" s="4" t="n">
        <v>5</v>
      </c>
      <c r="J205" s="4" t="n">
        <v>5</v>
      </c>
      <c r="K205" s="4" t="n">
        <f aca="false">I205-J205</f>
        <v>0</v>
      </c>
    </row>
    <row r="206" customFormat="false" ht="15" hidden="false" customHeight="false" outlineLevel="0" collapsed="false">
      <c r="A206" s="4" t="s">
        <v>82</v>
      </c>
      <c r="B206" s="4" t="s">
        <v>83</v>
      </c>
      <c r="C206" s="4" t="s">
        <v>5</v>
      </c>
      <c r="D206" s="4" t="s">
        <v>79</v>
      </c>
      <c r="E206" s="4" t="s">
        <v>68</v>
      </c>
      <c r="F206" s="4" t="n">
        <v>3</v>
      </c>
      <c r="G206" s="4" t="s">
        <v>194</v>
      </c>
      <c r="H206" s="4" t="s">
        <v>192</v>
      </c>
      <c r="I206" s="4" t="n">
        <v>5</v>
      </c>
      <c r="J206" s="4" t="n">
        <v>5</v>
      </c>
      <c r="K206" s="4" t="n">
        <f aca="false">I206-J206</f>
        <v>0</v>
      </c>
    </row>
    <row r="207" customFormat="false" ht="15" hidden="false" customHeight="false" outlineLevel="0" collapsed="false">
      <c r="A207" s="4" t="s">
        <v>82</v>
      </c>
      <c r="B207" s="4" t="s">
        <v>83</v>
      </c>
      <c r="C207" s="4" t="s">
        <v>5</v>
      </c>
      <c r="D207" s="4" t="s">
        <v>79</v>
      </c>
      <c r="E207" s="4" t="s">
        <v>68</v>
      </c>
      <c r="F207" s="4" t="n">
        <v>5</v>
      </c>
      <c r="G207" s="4" t="s">
        <v>201</v>
      </c>
      <c r="H207" s="4" t="s">
        <v>202</v>
      </c>
      <c r="I207" s="4" t="n">
        <v>5</v>
      </c>
      <c r="J207" s="4" t="n">
        <v>5</v>
      </c>
      <c r="K207" s="4" t="n">
        <f aca="false">I207-J207</f>
        <v>0</v>
      </c>
    </row>
    <row r="208" customFormat="false" ht="15" hidden="false" customHeight="false" outlineLevel="0" collapsed="false">
      <c r="A208" s="4" t="s">
        <v>82</v>
      </c>
      <c r="B208" s="4" t="s">
        <v>83</v>
      </c>
      <c r="C208" s="4" t="s">
        <v>5</v>
      </c>
      <c r="D208" s="4" t="s">
        <v>79</v>
      </c>
      <c r="E208" s="4" t="s">
        <v>68</v>
      </c>
      <c r="F208" s="4" t="n">
        <v>6</v>
      </c>
      <c r="G208" s="4" t="s">
        <v>203</v>
      </c>
      <c r="H208" s="4" t="s">
        <v>202</v>
      </c>
      <c r="I208" s="4" t="n">
        <v>5</v>
      </c>
      <c r="J208" s="4" t="n">
        <v>5</v>
      </c>
      <c r="K208" s="4" t="n">
        <f aca="false">I208-J208</f>
        <v>0</v>
      </c>
    </row>
    <row r="209" customFormat="false" ht="15" hidden="false" customHeight="false" outlineLevel="0" collapsed="false">
      <c r="A209" s="4" t="s">
        <v>82</v>
      </c>
      <c r="B209" s="4" t="s">
        <v>83</v>
      </c>
      <c r="C209" s="4" t="s">
        <v>5</v>
      </c>
      <c r="D209" s="4" t="s">
        <v>79</v>
      </c>
      <c r="E209" s="4" t="s">
        <v>68</v>
      </c>
      <c r="F209" s="4" t="n">
        <v>7</v>
      </c>
      <c r="G209" s="4" t="s">
        <v>204</v>
      </c>
      <c r="H209" s="4" t="s">
        <v>205</v>
      </c>
      <c r="I209" s="4" t="n">
        <v>4</v>
      </c>
      <c r="J209" s="4" t="n">
        <v>4</v>
      </c>
      <c r="K209" s="4" t="n">
        <f aca="false">I209-J209</f>
        <v>0</v>
      </c>
    </row>
    <row r="210" customFormat="false" ht="15" hidden="false" customHeight="false" outlineLevel="0" collapsed="false">
      <c r="A210" s="4" t="s">
        <v>82</v>
      </c>
      <c r="B210" s="4" t="s">
        <v>83</v>
      </c>
      <c r="C210" s="4" t="s">
        <v>5</v>
      </c>
      <c r="D210" s="4" t="s">
        <v>79</v>
      </c>
      <c r="E210" s="4" t="s">
        <v>68</v>
      </c>
      <c r="F210" s="4" t="n">
        <v>8</v>
      </c>
      <c r="G210" s="4" t="s">
        <v>206</v>
      </c>
      <c r="H210" s="4" t="s">
        <v>205</v>
      </c>
      <c r="I210" s="4" t="n">
        <v>5</v>
      </c>
      <c r="J210" s="4" t="n">
        <v>5</v>
      </c>
      <c r="K210" s="4" t="n">
        <f aca="false">I210-J210</f>
        <v>0</v>
      </c>
    </row>
    <row r="211" customFormat="false" ht="15" hidden="false" customHeight="false" outlineLevel="0" collapsed="false">
      <c r="A211" s="4" t="s">
        <v>82</v>
      </c>
      <c r="B211" s="4" t="s">
        <v>83</v>
      </c>
      <c r="C211" s="4" t="s">
        <v>5</v>
      </c>
      <c r="D211" s="4" t="s">
        <v>79</v>
      </c>
      <c r="E211" s="4" t="s">
        <v>68</v>
      </c>
      <c r="F211" s="4" t="n">
        <v>9</v>
      </c>
      <c r="G211" s="4" t="s">
        <v>207</v>
      </c>
      <c r="H211" s="4" t="s">
        <v>208</v>
      </c>
      <c r="I211" s="4" t="n">
        <v>5</v>
      </c>
      <c r="J211" s="4" t="n">
        <v>5</v>
      </c>
      <c r="K211" s="4" t="n">
        <f aca="false">I211-J211</f>
        <v>0</v>
      </c>
    </row>
    <row r="212" customFormat="false" ht="15" hidden="false" customHeight="false" outlineLevel="0" collapsed="false">
      <c r="A212" s="4" t="s">
        <v>82</v>
      </c>
      <c r="B212" s="4" t="s">
        <v>83</v>
      </c>
      <c r="C212" s="4" t="s">
        <v>5</v>
      </c>
      <c r="D212" s="4" t="s">
        <v>79</v>
      </c>
      <c r="E212" s="4" t="s">
        <v>68</v>
      </c>
      <c r="F212" s="4" t="n">
        <v>10</v>
      </c>
      <c r="G212" s="4" t="s">
        <v>209</v>
      </c>
      <c r="H212" s="4" t="s">
        <v>208</v>
      </c>
      <c r="I212" s="4" t="n">
        <v>5</v>
      </c>
      <c r="J212" s="4" t="n">
        <v>5</v>
      </c>
      <c r="K212" s="4" t="n">
        <f aca="false">I212-J212</f>
        <v>0</v>
      </c>
    </row>
    <row r="213" customFormat="false" ht="15" hidden="false" customHeight="false" outlineLevel="0" collapsed="false">
      <c r="A213" s="4" t="s">
        <v>82</v>
      </c>
      <c r="B213" s="4" t="s">
        <v>83</v>
      </c>
      <c r="C213" s="4" t="s">
        <v>5</v>
      </c>
      <c r="D213" s="4" t="s">
        <v>79</v>
      </c>
      <c r="E213" s="4" t="s">
        <v>68</v>
      </c>
      <c r="F213" s="4" t="n">
        <v>14</v>
      </c>
      <c r="G213" s="4" t="s">
        <v>199</v>
      </c>
      <c r="H213" s="4" t="s">
        <v>200</v>
      </c>
      <c r="I213" s="4" t="n">
        <v>4</v>
      </c>
      <c r="J213" s="4" t="n">
        <v>4</v>
      </c>
      <c r="K213" s="4" t="n">
        <f aca="false">I213-J213</f>
        <v>0</v>
      </c>
    </row>
    <row r="214" customFormat="false" ht="15" hidden="false" customHeight="false" outlineLevel="0" collapsed="false">
      <c r="A214" s="4" t="s">
        <v>84</v>
      </c>
      <c r="B214" s="4" t="s">
        <v>85</v>
      </c>
      <c r="C214" s="4" t="s">
        <v>5</v>
      </c>
      <c r="D214" s="4" t="s">
        <v>79</v>
      </c>
      <c r="E214" s="4" t="s">
        <v>68</v>
      </c>
      <c r="F214" s="4" t="n">
        <v>1</v>
      </c>
      <c r="G214" s="4" t="s">
        <v>191</v>
      </c>
      <c r="H214" s="4" t="s">
        <v>192</v>
      </c>
      <c r="I214" s="4" t="n">
        <v>5</v>
      </c>
      <c r="J214" s="4" t="n">
        <v>5</v>
      </c>
      <c r="K214" s="4" t="n">
        <f aca="false">I214-J214</f>
        <v>0</v>
      </c>
    </row>
    <row r="215" customFormat="false" ht="15" hidden="false" customHeight="false" outlineLevel="0" collapsed="false">
      <c r="A215" s="4" t="s">
        <v>84</v>
      </c>
      <c r="B215" s="4" t="s">
        <v>85</v>
      </c>
      <c r="C215" s="4" t="s">
        <v>5</v>
      </c>
      <c r="D215" s="4" t="s">
        <v>79</v>
      </c>
      <c r="E215" s="4" t="s">
        <v>68</v>
      </c>
      <c r="F215" s="4" t="n">
        <v>2</v>
      </c>
      <c r="G215" s="4" t="s">
        <v>193</v>
      </c>
      <c r="H215" s="4" t="s">
        <v>192</v>
      </c>
      <c r="I215" s="4" t="n">
        <v>3</v>
      </c>
      <c r="J215" s="4" t="n">
        <v>4</v>
      </c>
      <c r="K215" s="4" t="n">
        <f aca="false">I215-J215</f>
        <v>-1</v>
      </c>
    </row>
    <row r="216" customFormat="false" ht="15" hidden="false" customHeight="false" outlineLevel="0" collapsed="false">
      <c r="A216" s="4" t="s">
        <v>84</v>
      </c>
      <c r="B216" s="4" t="s">
        <v>85</v>
      </c>
      <c r="C216" s="4" t="s">
        <v>5</v>
      </c>
      <c r="D216" s="4" t="s">
        <v>79</v>
      </c>
      <c r="E216" s="4" t="s">
        <v>68</v>
      </c>
      <c r="F216" s="4" t="n">
        <v>3</v>
      </c>
      <c r="G216" s="4" t="s">
        <v>194</v>
      </c>
      <c r="H216" s="4" t="s">
        <v>192</v>
      </c>
      <c r="I216" s="4" t="n">
        <v>4</v>
      </c>
      <c r="J216" s="4" t="n">
        <v>4</v>
      </c>
      <c r="K216" s="4" t="n">
        <f aca="false">I216-J216</f>
        <v>0</v>
      </c>
    </row>
    <row r="217" customFormat="false" ht="15" hidden="false" customHeight="false" outlineLevel="0" collapsed="false">
      <c r="A217" s="4" t="s">
        <v>84</v>
      </c>
      <c r="B217" s="4" t="s">
        <v>85</v>
      </c>
      <c r="C217" s="4" t="s">
        <v>5</v>
      </c>
      <c r="D217" s="4" t="s">
        <v>79</v>
      </c>
      <c r="E217" s="4" t="s">
        <v>68</v>
      </c>
      <c r="F217" s="4" t="n">
        <v>5</v>
      </c>
      <c r="G217" s="4" t="s">
        <v>201</v>
      </c>
      <c r="H217" s="4" t="s">
        <v>202</v>
      </c>
      <c r="I217" s="4" t="n">
        <v>4</v>
      </c>
      <c r="J217" s="4" t="n">
        <v>4</v>
      </c>
      <c r="K217" s="4" t="n">
        <f aca="false">I217-J217</f>
        <v>0</v>
      </c>
    </row>
    <row r="218" customFormat="false" ht="15" hidden="false" customHeight="false" outlineLevel="0" collapsed="false">
      <c r="A218" s="4" t="s">
        <v>84</v>
      </c>
      <c r="B218" s="4" t="s">
        <v>85</v>
      </c>
      <c r="C218" s="4" t="s">
        <v>5</v>
      </c>
      <c r="D218" s="4" t="s">
        <v>79</v>
      </c>
      <c r="E218" s="4" t="s">
        <v>68</v>
      </c>
      <c r="F218" s="4" t="n">
        <v>6</v>
      </c>
      <c r="G218" s="4" t="s">
        <v>203</v>
      </c>
      <c r="H218" s="4" t="s">
        <v>202</v>
      </c>
      <c r="I218" s="4" t="n">
        <v>5</v>
      </c>
      <c r="J218" s="4" t="n">
        <v>4</v>
      </c>
      <c r="K218" s="4" t="n">
        <f aca="false">I218-J218</f>
        <v>1</v>
      </c>
    </row>
    <row r="219" customFormat="false" ht="15" hidden="false" customHeight="false" outlineLevel="0" collapsed="false">
      <c r="A219" s="4" t="s">
        <v>84</v>
      </c>
      <c r="B219" s="4" t="s">
        <v>85</v>
      </c>
      <c r="C219" s="4" t="s">
        <v>5</v>
      </c>
      <c r="D219" s="4" t="s">
        <v>79</v>
      </c>
      <c r="E219" s="4" t="s">
        <v>68</v>
      </c>
      <c r="F219" s="4" t="n">
        <v>7</v>
      </c>
      <c r="G219" s="4" t="s">
        <v>204</v>
      </c>
      <c r="H219" s="4" t="s">
        <v>205</v>
      </c>
      <c r="I219" s="4" t="n">
        <v>5</v>
      </c>
      <c r="J219" s="4" t="n">
        <v>5</v>
      </c>
      <c r="K219" s="4" t="n">
        <f aca="false">I219-J219</f>
        <v>0</v>
      </c>
    </row>
    <row r="220" customFormat="false" ht="15" hidden="false" customHeight="false" outlineLevel="0" collapsed="false">
      <c r="A220" s="4" t="s">
        <v>84</v>
      </c>
      <c r="B220" s="4" t="s">
        <v>85</v>
      </c>
      <c r="C220" s="4" t="s">
        <v>5</v>
      </c>
      <c r="D220" s="4" t="s">
        <v>79</v>
      </c>
      <c r="E220" s="4" t="s">
        <v>68</v>
      </c>
      <c r="F220" s="4" t="n">
        <v>8</v>
      </c>
      <c r="G220" s="4" t="s">
        <v>206</v>
      </c>
      <c r="H220" s="4" t="s">
        <v>205</v>
      </c>
      <c r="I220" s="4" t="n">
        <v>5</v>
      </c>
      <c r="J220" s="4" t="n">
        <v>4</v>
      </c>
      <c r="K220" s="4" t="n">
        <f aca="false">I220-J220</f>
        <v>1</v>
      </c>
    </row>
    <row r="221" customFormat="false" ht="15" hidden="false" customHeight="false" outlineLevel="0" collapsed="false">
      <c r="A221" s="4" t="s">
        <v>84</v>
      </c>
      <c r="B221" s="4" t="s">
        <v>85</v>
      </c>
      <c r="C221" s="4" t="s">
        <v>5</v>
      </c>
      <c r="D221" s="4" t="s">
        <v>79</v>
      </c>
      <c r="E221" s="4" t="s">
        <v>68</v>
      </c>
      <c r="F221" s="4" t="n">
        <v>9</v>
      </c>
      <c r="G221" s="4" t="s">
        <v>207</v>
      </c>
      <c r="H221" s="4" t="s">
        <v>208</v>
      </c>
      <c r="I221" s="4" t="n">
        <v>5</v>
      </c>
      <c r="J221" s="4" t="n">
        <v>4</v>
      </c>
      <c r="K221" s="4" t="n">
        <f aca="false">I221-J221</f>
        <v>1</v>
      </c>
    </row>
    <row r="222" customFormat="false" ht="15" hidden="false" customHeight="false" outlineLevel="0" collapsed="false">
      <c r="A222" s="4" t="s">
        <v>84</v>
      </c>
      <c r="B222" s="4" t="s">
        <v>85</v>
      </c>
      <c r="C222" s="4" t="s">
        <v>5</v>
      </c>
      <c r="D222" s="4" t="s">
        <v>79</v>
      </c>
      <c r="E222" s="4" t="s">
        <v>68</v>
      </c>
      <c r="F222" s="4" t="n">
        <v>10</v>
      </c>
      <c r="G222" s="4" t="s">
        <v>209</v>
      </c>
      <c r="H222" s="4" t="s">
        <v>208</v>
      </c>
      <c r="I222" s="4" t="n">
        <v>5</v>
      </c>
      <c r="J222" s="4" t="n">
        <v>5</v>
      </c>
      <c r="K222" s="4" t="n">
        <f aca="false">I222-J222</f>
        <v>0</v>
      </c>
    </row>
    <row r="223" customFormat="false" ht="15" hidden="false" customHeight="false" outlineLevel="0" collapsed="false">
      <c r="A223" s="4" t="s">
        <v>84</v>
      </c>
      <c r="B223" s="4" t="s">
        <v>85</v>
      </c>
      <c r="C223" s="4" t="s">
        <v>5</v>
      </c>
      <c r="D223" s="4" t="s">
        <v>79</v>
      </c>
      <c r="E223" s="4" t="s">
        <v>68</v>
      </c>
      <c r="F223" s="4" t="n">
        <v>14</v>
      </c>
      <c r="G223" s="4" t="s">
        <v>199</v>
      </c>
      <c r="H223" s="4" t="s">
        <v>200</v>
      </c>
      <c r="I223" s="4" t="n">
        <v>5</v>
      </c>
      <c r="J223" s="4" t="n">
        <v>4</v>
      </c>
      <c r="K223" s="4" t="n">
        <f aca="false">I223-J223</f>
        <v>1</v>
      </c>
    </row>
    <row r="224" customFormat="false" ht="15" hidden="false" customHeight="false" outlineLevel="0" collapsed="false">
      <c r="A224" s="4" t="s">
        <v>86</v>
      </c>
      <c r="B224" s="4" t="s">
        <v>87</v>
      </c>
      <c r="C224" s="4" t="s">
        <v>7</v>
      </c>
      <c r="D224" s="4" t="s">
        <v>88</v>
      </c>
      <c r="E224" s="4" t="s">
        <v>68</v>
      </c>
      <c r="F224" s="4" t="n">
        <v>1</v>
      </c>
      <c r="G224" s="4" t="s">
        <v>191</v>
      </c>
      <c r="H224" s="4" t="s">
        <v>192</v>
      </c>
      <c r="I224" s="4" t="n">
        <v>5</v>
      </c>
      <c r="J224" s="4" t="n">
        <v>5</v>
      </c>
      <c r="K224" s="4" t="n">
        <f aca="false">I224-J224</f>
        <v>0</v>
      </c>
    </row>
    <row r="225" customFormat="false" ht="15" hidden="false" customHeight="false" outlineLevel="0" collapsed="false">
      <c r="A225" s="4" t="s">
        <v>86</v>
      </c>
      <c r="B225" s="4" t="s">
        <v>87</v>
      </c>
      <c r="C225" s="4" t="s">
        <v>7</v>
      </c>
      <c r="D225" s="4" t="s">
        <v>88</v>
      </c>
      <c r="E225" s="4" t="s">
        <v>68</v>
      </c>
      <c r="F225" s="4" t="n">
        <v>2</v>
      </c>
      <c r="G225" s="4" t="s">
        <v>193</v>
      </c>
      <c r="H225" s="4" t="s">
        <v>192</v>
      </c>
      <c r="I225" s="4" t="n">
        <v>5</v>
      </c>
      <c r="J225" s="4" t="n">
        <v>4</v>
      </c>
      <c r="K225" s="4" t="n">
        <f aca="false">I225-J225</f>
        <v>1</v>
      </c>
    </row>
    <row r="226" customFormat="false" ht="15" hidden="false" customHeight="false" outlineLevel="0" collapsed="false">
      <c r="A226" s="4" t="s">
        <v>86</v>
      </c>
      <c r="B226" s="4" t="s">
        <v>87</v>
      </c>
      <c r="C226" s="4" t="s">
        <v>7</v>
      </c>
      <c r="D226" s="4" t="s">
        <v>88</v>
      </c>
      <c r="E226" s="4" t="s">
        <v>68</v>
      </c>
      <c r="F226" s="4" t="n">
        <v>3</v>
      </c>
      <c r="G226" s="4" t="s">
        <v>194</v>
      </c>
      <c r="H226" s="4" t="s">
        <v>192</v>
      </c>
      <c r="I226" s="4" t="n">
        <v>5</v>
      </c>
      <c r="J226" s="4" t="n">
        <v>5</v>
      </c>
      <c r="K226" s="4" t="n">
        <f aca="false">I226-J226</f>
        <v>0</v>
      </c>
    </row>
    <row r="227" customFormat="false" ht="15" hidden="false" customHeight="false" outlineLevel="0" collapsed="false">
      <c r="A227" s="4" t="s">
        <v>86</v>
      </c>
      <c r="B227" s="4" t="s">
        <v>87</v>
      </c>
      <c r="C227" s="4" t="s">
        <v>7</v>
      </c>
      <c r="D227" s="4" t="s">
        <v>88</v>
      </c>
      <c r="E227" s="4" t="s">
        <v>68</v>
      </c>
      <c r="F227" s="4" t="n">
        <v>11</v>
      </c>
      <c r="G227" s="4" t="s">
        <v>195</v>
      </c>
      <c r="H227" s="4" t="s">
        <v>196</v>
      </c>
      <c r="I227" s="4" t="n">
        <v>5</v>
      </c>
      <c r="J227" s="4" t="n">
        <v>4</v>
      </c>
      <c r="K227" s="4" t="n">
        <f aca="false">I227-J227</f>
        <v>1</v>
      </c>
    </row>
    <row r="228" customFormat="false" ht="15" hidden="false" customHeight="false" outlineLevel="0" collapsed="false">
      <c r="A228" s="4" t="s">
        <v>86</v>
      </c>
      <c r="B228" s="4" t="s">
        <v>87</v>
      </c>
      <c r="C228" s="4" t="s">
        <v>7</v>
      </c>
      <c r="D228" s="4" t="s">
        <v>88</v>
      </c>
      <c r="E228" s="4" t="s">
        <v>68</v>
      </c>
      <c r="F228" s="4" t="n">
        <v>12</v>
      </c>
      <c r="G228" s="4" t="s">
        <v>197</v>
      </c>
      <c r="H228" s="4" t="s">
        <v>196</v>
      </c>
      <c r="I228" s="4" t="n">
        <v>5</v>
      </c>
      <c r="J228" s="4" t="n">
        <v>4</v>
      </c>
      <c r="K228" s="4" t="n">
        <f aca="false">I228-J228</f>
        <v>1</v>
      </c>
    </row>
    <row r="229" customFormat="false" ht="15" hidden="false" customHeight="false" outlineLevel="0" collapsed="false">
      <c r="A229" s="4" t="s">
        <v>86</v>
      </c>
      <c r="B229" s="4" t="s">
        <v>87</v>
      </c>
      <c r="C229" s="4" t="s">
        <v>7</v>
      </c>
      <c r="D229" s="4" t="s">
        <v>88</v>
      </c>
      <c r="E229" s="4" t="s">
        <v>68</v>
      </c>
      <c r="F229" s="4" t="n">
        <v>13</v>
      </c>
      <c r="G229" s="4" t="s">
        <v>198</v>
      </c>
      <c r="H229" s="4" t="s">
        <v>196</v>
      </c>
      <c r="I229" s="4" t="n">
        <v>5</v>
      </c>
      <c r="J229" s="4" t="n">
        <v>4</v>
      </c>
      <c r="K229" s="4" t="n">
        <f aca="false">I229-J229</f>
        <v>1</v>
      </c>
    </row>
    <row r="230" customFormat="false" ht="15" hidden="false" customHeight="false" outlineLevel="0" collapsed="false">
      <c r="A230" s="4" t="s">
        <v>86</v>
      </c>
      <c r="B230" s="4" t="s">
        <v>87</v>
      </c>
      <c r="C230" s="4" t="s">
        <v>7</v>
      </c>
      <c r="D230" s="4" t="s">
        <v>88</v>
      </c>
      <c r="E230" s="4" t="s">
        <v>68</v>
      </c>
      <c r="F230" s="4" t="n">
        <v>14</v>
      </c>
      <c r="G230" s="4" t="s">
        <v>199</v>
      </c>
      <c r="H230" s="4" t="s">
        <v>200</v>
      </c>
      <c r="I230" s="4" t="n">
        <v>5</v>
      </c>
      <c r="J230" s="4" t="n">
        <v>5</v>
      </c>
      <c r="K230" s="4" t="n">
        <f aca="false">I230-J230</f>
        <v>0</v>
      </c>
    </row>
    <row r="231" customFormat="false" ht="15" hidden="false" customHeight="false" outlineLevel="0" collapsed="false">
      <c r="A231" s="4" t="s">
        <v>89</v>
      </c>
      <c r="B231" s="4" t="s">
        <v>90</v>
      </c>
      <c r="C231" s="4" t="s">
        <v>5</v>
      </c>
      <c r="D231" s="4" t="s">
        <v>88</v>
      </c>
      <c r="E231" s="4" t="s">
        <v>68</v>
      </c>
      <c r="F231" s="4" t="n">
        <v>1</v>
      </c>
      <c r="G231" s="4" t="s">
        <v>191</v>
      </c>
      <c r="H231" s="4" t="s">
        <v>192</v>
      </c>
      <c r="I231" s="4" t="n">
        <v>5</v>
      </c>
      <c r="J231" s="4" t="n">
        <v>5</v>
      </c>
      <c r="K231" s="4" t="n">
        <f aca="false">I231-J231</f>
        <v>0</v>
      </c>
    </row>
    <row r="232" customFormat="false" ht="15" hidden="false" customHeight="false" outlineLevel="0" collapsed="false">
      <c r="A232" s="4" t="s">
        <v>89</v>
      </c>
      <c r="B232" s="4" t="s">
        <v>90</v>
      </c>
      <c r="C232" s="4" t="s">
        <v>5</v>
      </c>
      <c r="D232" s="4" t="s">
        <v>88</v>
      </c>
      <c r="E232" s="4" t="s">
        <v>68</v>
      </c>
      <c r="F232" s="4" t="n">
        <v>2</v>
      </c>
      <c r="G232" s="4" t="s">
        <v>193</v>
      </c>
      <c r="H232" s="4" t="s">
        <v>192</v>
      </c>
      <c r="I232" s="4" t="n">
        <v>5</v>
      </c>
      <c r="J232" s="4" t="n">
        <v>5</v>
      </c>
      <c r="K232" s="4" t="n">
        <f aca="false">I232-J232</f>
        <v>0</v>
      </c>
    </row>
    <row r="233" customFormat="false" ht="15" hidden="false" customHeight="false" outlineLevel="0" collapsed="false">
      <c r="A233" s="4" t="s">
        <v>89</v>
      </c>
      <c r="B233" s="4" t="s">
        <v>90</v>
      </c>
      <c r="C233" s="4" t="s">
        <v>5</v>
      </c>
      <c r="D233" s="4" t="s">
        <v>88</v>
      </c>
      <c r="E233" s="4" t="s">
        <v>68</v>
      </c>
      <c r="F233" s="4" t="n">
        <v>3</v>
      </c>
      <c r="G233" s="4" t="s">
        <v>194</v>
      </c>
      <c r="H233" s="4" t="s">
        <v>192</v>
      </c>
      <c r="I233" s="4" t="n">
        <v>5</v>
      </c>
      <c r="J233" s="4" t="n">
        <v>5</v>
      </c>
      <c r="K233" s="4" t="n">
        <f aca="false">I233-J233</f>
        <v>0</v>
      </c>
    </row>
    <row r="234" customFormat="false" ht="15" hidden="false" customHeight="false" outlineLevel="0" collapsed="false">
      <c r="A234" s="4" t="s">
        <v>89</v>
      </c>
      <c r="B234" s="4" t="s">
        <v>90</v>
      </c>
      <c r="C234" s="4" t="s">
        <v>5</v>
      </c>
      <c r="D234" s="4" t="s">
        <v>88</v>
      </c>
      <c r="E234" s="4" t="s">
        <v>68</v>
      </c>
      <c r="F234" s="4" t="n">
        <v>5</v>
      </c>
      <c r="G234" s="4" t="s">
        <v>201</v>
      </c>
      <c r="H234" s="4" t="s">
        <v>202</v>
      </c>
      <c r="I234" s="4" t="n">
        <v>5</v>
      </c>
      <c r="J234" s="4" t="n">
        <v>5</v>
      </c>
      <c r="K234" s="4" t="n">
        <f aca="false">I234-J234</f>
        <v>0</v>
      </c>
    </row>
    <row r="235" customFormat="false" ht="15" hidden="false" customHeight="false" outlineLevel="0" collapsed="false">
      <c r="A235" s="4" t="s">
        <v>89</v>
      </c>
      <c r="B235" s="4" t="s">
        <v>90</v>
      </c>
      <c r="C235" s="4" t="s">
        <v>5</v>
      </c>
      <c r="D235" s="4" t="s">
        <v>88</v>
      </c>
      <c r="E235" s="4" t="s">
        <v>68</v>
      </c>
      <c r="F235" s="4" t="n">
        <v>6</v>
      </c>
      <c r="G235" s="4" t="s">
        <v>203</v>
      </c>
      <c r="H235" s="4" t="s">
        <v>202</v>
      </c>
      <c r="I235" s="4" t="n">
        <v>4</v>
      </c>
      <c r="J235" s="4" t="n">
        <v>5</v>
      </c>
      <c r="K235" s="4" t="n">
        <f aca="false">I235-J235</f>
        <v>-1</v>
      </c>
    </row>
    <row r="236" customFormat="false" ht="15" hidden="false" customHeight="false" outlineLevel="0" collapsed="false">
      <c r="A236" s="4" t="s">
        <v>89</v>
      </c>
      <c r="B236" s="4" t="s">
        <v>90</v>
      </c>
      <c r="C236" s="4" t="s">
        <v>5</v>
      </c>
      <c r="D236" s="4" t="s">
        <v>88</v>
      </c>
      <c r="E236" s="4" t="s">
        <v>68</v>
      </c>
      <c r="F236" s="4" t="n">
        <v>7</v>
      </c>
      <c r="G236" s="4" t="s">
        <v>204</v>
      </c>
      <c r="H236" s="4" t="s">
        <v>205</v>
      </c>
      <c r="I236" s="4" t="n">
        <v>4</v>
      </c>
      <c r="J236" s="4" t="n">
        <v>5</v>
      </c>
      <c r="K236" s="4" t="n">
        <f aca="false">I236-J236</f>
        <v>-1</v>
      </c>
    </row>
    <row r="237" customFormat="false" ht="15" hidden="false" customHeight="false" outlineLevel="0" collapsed="false">
      <c r="A237" s="4" t="s">
        <v>89</v>
      </c>
      <c r="B237" s="4" t="s">
        <v>90</v>
      </c>
      <c r="C237" s="4" t="s">
        <v>5</v>
      </c>
      <c r="D237" s="4" t="s">
        <v>88</v>
      </c>
      <c r="E237" s="4" t="s">
        <v>68</v>
      </c>
      <c r="F237" s="4" t="n">
        <v>8</v>
      </c>
      <c r="G237" s="4" t="s">
        <v>206</v>
      </c>
      <c r="H237" s="4" t="s">
        <v>205</v>
      </c>
      <c r="I237" s="4" t="n">
        <v>4</v>
      </c>
      <c r="J237" s="4" t="n">
        <v>5</v>
      </c>
      <c r="K237" s="4" t="n">
        <f aca="false">I237-J237</f>
        <v>-1</v>
      </c>
    </row>
    <row r="238" customFormat="false" ht="15" hidden="false" customHeight="false" outlineLevel="0" collapsed="false">
      <c r="A238" s="4" t="s">
        <v>89</v>
      </c>
      <c r="B238" s="4" t="s">
        <v>90</v>
      </c>
      <c r="C238" s="4" t="s">
        <v>5</v>
      </c>
      <c r="D238" s="4" t="s">
        <v>88</v>
      </c>
      <c r="E238" s="4" t="s">
        <v>68</v>
      </c>
      <c r="F238" s="4" t="n">
        <v>9</v>
      </c>
      <c r="G238" s="4" t="s">
        <v>207</v>
      </c>
      <c r="H238" s="4" t="s">
        <v>208</v>
      </c>
      <c r="I238" s="4" t="n">
        <v>5</v>
      </c>
      <c r="J238" s="4" t="n">
        <v>5</v>
      </c>
      <c r="K238" s="4" t="n">
        <f aca="false">I238-J238</f>
        <v>0</v>
      </c>
    </row>
    <row r="239" customFormat="false" ht="15" hidden="false" customHeight="false" outlineLevel="0" collapsed="false">
      <c r="A239" s="4" t="s">
        <v>89</v>
      </c>
      <c r="B239" s="4" t="s">
        <v>90</v>
      </c>
      <c r="C239" s="4" t="s">
        <v>5</v>
      </c>
      <c r="D239" s="4" t="s">
        <v>88</v>
      </c>
      <c r="E239" s="4" t="s">
        <v>68</v>
      </c>
      <c r="F239" s="4" t="n">
        <v>10</v>
      </c>
      <c r="G239" s="4" t="s">
        <v>209</v>
      </c>
      <c r="H239" s="4" t="s">
        <v>208</v>
      </c>
      <c r="I239" s="4" t="n">
        <v>5</v>
      </c>
      <c r="J239" s="4" t="n">
        <v>5</v>
      </c>
      <c r="K239" s="4" t="n">
        <f aca="false">I239-J239</f>
        <v>0</v>
      </c>
    </row>
    <row r="240" customFormat="false" ht="15" hidden="false" customHeight="false" outlineLevel="0" collapsed="false">
      <c r="A240" s="4" t="s">
        <v>89</v>
      </c>
      <c r="B240" s="4" t="s">
        <v>90</v>
      </c>
      <c r="C240" s="4" t="s">
        <v>5</v>
      </c>
      <c r="D240" s="4" t="s">
        <v>88</v>
      </c>
      <c r="E240" s="4" t="s">
        <v>68</v>
      </c>
      <c r="F240" s="4" t="n">
        <v>14</v>
      </c>
      <c r="G240" s="4" t="s">
        <v>199</v>
      </c>
      <c r="H240" s="4" t="s">
        <v>200</v>
      </c>
      <c r="I240" s="4" t="n">
        <v>5</v>
      </c>
      <c r="J240" s="4" t="n">
        <v>5</v>
      </c>
      <c r="K240" s="4" t="n">
        <f aca="false">I240-J240</f>
        <v>0</v>
      </c>
    </row>
    <row r="241" customFormat="false" ht="15" hidden="false" customHeight="false" outlineLevel="0" collapsed="false">
      <c r="A241" s="4" t="s">
        <v>91</v>
      </c>
      <c r="B241" s="4" t="s">
        <v>92</v>
      </c>
      <c r="C241" s="4" t="s">
        <v>5</v>
      </c>
      <c r="D241" s="4" t="s">
        <v>88</v>
      </c>
      <c r="E241" s="4" t="s">
        <v>68</v>
      </c>
      <c r="F241" s="4" t="n">
        <v>1</v>
      </c>
      <c r="G241" s="4" t="s">
        <v>191</v>
      </c>
      <c r="H241" s="4" t="s">
        <v>192</v>
      </c>
      <c r="I241" s="4" t="n">
        <v>5</v>
      </c>
      <c r="J241" s="4" t="n">
        <v>5</v>
      </c>
      <c r="K241" s="4" t="n">
        <f aca="false">I241-J241</f>
        <v>0</v>
      </c>
    </row>
    <row r="242" customFormat="false" ht="15" hidden="false" customHeight="false" outlineLevel="0" collapsed="false">
      <c r="A242" s="4" t="s">
        <v>91</v>
      </c>
      <c r="B242" s="4" t="s">
        <v>92</v>
      </c>
      <c r="C242" s="4" t="s">
        <v>5</v>
      </c>
      <c r="D242" s="4" t="s">
        <v>88</v>
      </c>
      <c r="E242" s="4" t="s">
        <v>68</v>
      </c>
      <c r="F242" s="4" t="n">
        <v>2</v>
      </c>
      <c r="G242" s="4" t="s">
        <v>193</v>
      </c>
      <c r="H242" s="4" t="s">
        <v>192</v>
      </c>
      <c r="I242" s="4" t="n">
        <v>5</v>
      </c>
      <c r="J242" s="4" t="n">
        <v>5</v>
      </c>
      <c r="K242" s="4" t="n">
        <f aca="false">I242-J242</f>
        <v>0</v>
      </c>
    </row>
    <row r="243" customFormat="false" ht="15" hidden="false" customHeight="false" outlineLevel="0" collapsed="false">
      <c r="A243" s="4" t="s">
        <v>91</v>
      </c>
      <c r="B243" s="4" t="s">
        <v>92</v>
      </c>
      <c r="C243" s="4" t="s">
        <v>5</v>
      </c>
      <c r="D243" s="4" t="s">
        <v>88</v>
      </c>
      <c r="E243" s="4" t="s">
        <v>68</v>
      </c>
      <c r="F243" s="4" t="n">
        <v>3</v>
      </c>
      <c r="G243" s="4" t="s">
        <v>194</v>
      </c>
      <c r="H243" s="4" t="s">
        <v>192</v>
      </c>
      <c r="I243" s="4" t="n">
        <v>4</v>
      </c>
      <c r="J243" s="4" t="n">
        <v>5</v>
      </c>
      <c r="K243" s="4" t="n">
        <f aca="false">I243-J243</f>
        <v>-1</v>
      </c>
    </row>
    <row r="244" customFormat="false" ht="15" hidden="false" customHeight="false" outlineLevel="0" collapsed="false">
      <c r="A244" s="4" t="s">
        <v>91</v>
      </c>
      <c r="B244" s="4" t="s">
        <v>92</v>
      </c>
      <c r="C244" s="4" t="s">
        <v>5</v>
      </c>
      <c r="D244" s="4" t="s">
        <v>88</v>
      </c>
      <c r="E244" s="4" t="s">
        <v>68</v>
      </c>
      <c r="F244" s="4" t="n">
        <v>5</v>
      </c>
      <c r="G244" s="4" t="s">
        <v>201</v>
      </c>
      <c r="H244" s="4" t="s">
        <v>202</v>
      </c>
      <c r="I244" s="4" t="n">
        <v>5</v>
      </c>
      <c r="J244" s="4" t="n">
        <v>5</v>
      </c>
      <c r="K244" s="4" t="n">
        <f aca="false">I244-J244</f>
        <v>0</v>
      </c>
    </row>
    <row r="245" customFormat="false" ht="15" hidden="false" customHeight="false" outlineLevel="0" collapsed="false">
      <c r="A245" s="4" t="s">
        <v>91</v>
      </c>
      <c r="B245" s="4" t="s">
        <v>92</v>
      </c>
      <c r="C245" s="4" t="s">
        <v>5</v>
      </c>
      <c r="D245" s="4" t="s">
        <v>88</v>
      </c>
      <c r="E245" s="4" t="s">
        <v>68</v>
      </c>
      <c r="F245" s="4" t="n">
        <v>6</v>
      </c>
      <c r="G245" s="4" t="s">
        <v>203</v>
      </c>
      <c r="H245" s="4" t="s">
        <v>202</v>
      </c>
      <c r="I245" s="4" t="n">
        <v>5</v>
      </c>
      <c r="J245" s="4" t="n">
        <v>5</v>
      </c>
      <c r="K245" s="4" t="n">
        <f aca="false">I245-J245</f>
        <v>0</v>
      </c>
    </row>
    <row r="246" customFormat="false" ht="15" hidden="false" customHeight="false" outlineLevel="0" collapsed="false">
      <c r="A246" s="4" t="s">
        <v>91</v>
      </c>
      <c r="B246" s="4" t="s">
        <v>92</v>
      </c>
      <c r="C246" s="4" t="s">
        <v>5</v>
      </c>
      <c r="D246" s="4" t="s">
        <v>88</v>
      </c>
      <c r="E246" s="4" t="s">
        <v>68</v>
      </c>
      <c r="F246" s="4" t="n">
        <v>7</v>
      </c>
      <c r="G246" s="4" t="s">
        <v>204</v>
      </c>
      <c r="H246" s="4" t="s">
        <v>205</v>
      </c>
      <c r="I246" s="4" t="n">
        <v>5</v>
      </c>
      <c r="J246" s="4" t="n">
        <v>5</v>
      </c>
      <c r="K246" s="4" t="n">
        <f aca="false">I246-J246</f>
        <v>0</v>
      </c>
    </row>
    <row r="247" customFormat="false" ht="15" hidden="false" customHeight="false" outlineLevel="0" collapsed="false">
      <c r="A247" s="4" t="s">
        <v>91</v>
      </c>
      <c r="B247" s="4" t="s">
        <v>92</v>
      </c>
      <c r="C247" s="4" t="s">
        <v>5</v>
      </c>
      <c r="D247" s="4" t="s">
        <v>88</v>
      </c>
      <c r="E247" s="4" t="s">
        <v>68</v>
      </c>
      <c r="F247" s="4" t="n">
        <v>8</v>
      </c>
      <c r="G247" s="4" t="s">
        <v>206</v>
      </c>
      <c r="H247" s="4" t="s">
        <v>205</v>
      </c>
      <c r="I247" s="4" t="n">
        <v>5</v>
      </c>
      <c r="J247" s="4" t="n">
        <v>5</v>
      </c>
      <c r="K247" s="4" t="n">
        <f aca="false">I247-J247</f>
        <v>0</v>
      </c>
    </row>
    <row r="248" customFormat="false" ht="15" hidden="false" customHeight="false" outlineLevel="0" collapsed="false">
      <c r="A248" s="4" t="s">
        <v>91</v>
      </c>
      <c r="B248" s="4" t="s">
        <v>92</v>
      </c>
      <c r="C248" s="4" t="s">
        <v>5</v>
      </c>
      <c r="D248" s="4" t="s">
        <v>88</v>
      </c>
      <c r="E248" s="4" t="s">
        <v>68</v>
      </c>
      <c r="F248" s="4" t="n">
        <v>9</v>
      </c>
      <c r="G248" s="4" t="s">
        <v>207</v>
      </c>
      <c r="H248" s="4" t="s">
        <v>208</v>
      </c>
      <c r="I248" s="4" t="n">
        <v>5</v>
      </c>
      <c r="J248" s="4" t="n">
        <v>5</v>
      </c>
      <c r="K248" s="4" t="n">
        <f aca="false">I248-J248</f>
        <v>0</v>
      </c>
    </row>
    <row r="249" customFormat="false" ht="15" hidden="false" customHeight="false" outlineLevel="0" collapsed="false">
      <c r="A249" s="4" t="s">
        <v>91</v>
      </c>
      <c r="B249" s="4" t="s">
        <v>92</v>
      </c>
      <c r="C249" s="4" t="s">
        <v>5</v>
      </c>
      <c r="D249" s="4" t="s">
        <v>88</v>
      </c>
      <c r="E249" s="4" t="s">
        <v>68</v>
      </c>
      <c r="F249" s="4" t="n">
        <v>10</v>
      </c>
      <c r="G249" s="4" t="s">
        <v>209</v>
      </c>
      <c r="H249" s="4" t="s">
        <v>208</v>
      </c>
      <c r="I249" s="4" t="n">
        <v>5</v>
      </c>
      <c r="J249" s="4" t="n">
        <v>5</v>
      </c>
      <c r="K249" s="4" t="n">
        <f aca="false">I249-J249</f>
        <v>0</v>
      </c>
    </row>
    <row r="250" customFormat="false" ht="15" hidden="false" customHeight="false" outlineLevel="0" collapsed="false">
      <c r="A250" s="4" t="s">
        <v>91</v>
      </c>
      <c r="B250" s="4" t="s">
        <v>92</v>
      </c>
      <c r="C250" s="4" t="s">
        <v>5</v>
      </c>
      <c r="D250" s="4" t="s">
        <v>88</v>
      </c>
      <c r="E250" s="4" t="s">
        <v>68</v>
      </c>
      <c r="F250" s="4" t="n">
        <v>14</v>
      </c>
      <c r="G250" s="4" t="s">
        <v>199</v>
      </c>
      <c r="H250" s="4" t="s">
        <v>200</v>
      </c>
      <c r="I250" s="4" t="n">
        <v>5</v>
      </c>
      <c r="J250" s="4" t="n">
        <v>5</v>
      </c>
      <c r="K250" s="4" t="n">
        <f aca="false">I250-J250</f>
        <v>0</v>
      </c>
    </row>
    <row r="251" customFormat="false" ht="15" hidden="false" customHeight="false" outlineLevel="0" collapsed="false">
      <c r="A251" s="4" t="s">
        <v>93</v>
      </c>
      <c r="B251" s="4" t="s">
        <v>94</v>
      </c>
      <c r="C251" s="4" t="s">
        <v>5</v>
      </c>
      <c r="D251" s="4" t="s">
        <v>88</v>
      </c>
      <c r="E251" s="4" t="s">
        <v>68</v>
      </c>
      <c r="F251" s="4" t="n">
        <v>1</v>
      </c>
      <c r="G251" s="4" t="s">
        <v>191</v>
      </c>
      <c r="H251" s="4" t="s">
        <v>192</v>
      </c>
      <c r="I251" s="4" t="n">
        <v>5</v>
      </c>
      <c r="J251" s="4" t="n">
        <v>5</v>
      </c>
      <c r="K251" s="4" t="n">
        <f aca="false">I251-J251</f>
        <v>0</v>
      </c>
    </row>
    <row r="252" customFormat="false" ht="15" hidden="false" customHeight="false" outlineLevel="0" collapsed="false">
      <c r="A252" s="4" t="s">
        <v>93</v>
      </c>
      <c r="B252" s="4" t="s">
        <v>94</v>
      </c>
      <c r="C252" s="4" t="s">
        <v>5</v>
      </c>
      <c r="D252" s="4" t="s">
        <v>88</v>
      </c>
      <c r="E252" s="4" t="s">
        <v>68</v>
      </c>
      <c r="F252" s="4" t="n">
        <v>2</v>
      </c>
      <c r="G252" s="4" t="s">
        <v>193</v>
      </c>
      <c r="H252" s="4" t="s">
        <v>192</v>
      </c>
      <c r="I252" s="4" t="n">
        <v>4</v>
      </c>
      <c r="J252" s="4" t="n">
        <v>5</v>
      </c>
      <c r="K252" s="4" t="n">
        <f aca="false">I252-J252</f>
        <v>-1</v>
      </c>
    </row>
    <row r="253" customFormat="false" ht="15" hidden="false" customHeight="false" outlineLevel="0" collapsed="false">
      <c r="A253" s="4" t="s">
        <v>93</v>
      </c>
      <c r="B253" s="4" t="s">
        <v>94</v>
      </c>
      <c r="C253" s="4" t="s">
        <v>5</v>
      </c>
      <c r="D253" s="4" t="s">
        <v>88</v>
      </c>
      <c r="E253" s="4" t="s">
        <v>68</v>
      </c>
      <c r="F253" s="4" t="n">
        <v>3</v>
      </c>
      <c r="G253" s="4" t="s">
        <v>194</v>
      </c>
      <c r="H253" s="4" t="s">
        <v>192</v>
      </c>
      <c r="I253" s="4" t="n">
        <v>4</v>
      </c>
      <c r="J253" s="4" t="n">
        <v>5</v>
      </c>
      <c r="K253" s="4" t="n">
        <f aca="false">I253-J253</f>
        <v>-1</v>
      </c>
    </row>
    <row r="254" customFormat="false" ht="15" hidden="false" customHeight="false" outlineLevel="0" collapsed="false">
      <c r="A254" s="4" t="s">
        <v>93</v>
      </c>
      <c r="B254" s="4" t="s">
        <v>94</v>
      </c>
      <c r="C254" s="4" t="s">
        <v>5</v>
      </c>
      <c r="D254" s="4" t="s">
        <v>88</v>
      </c>
      <c r="E254" s="4" t="s">
        <v>68</v>
      </c>
      <c r="F254" s="4" t="n">
        <v>5</v>
      </c>
      <c r="G254" s="4" t="s">
        <v>201</v>
      </c>
      <c r="H254" s="4" t="s">
        <v>202</v>
      </c>
      <c r="I254" s="4" t="n">
        <v>5</v>
      </c>
      <c r="J254" s="4" t="n">
        <v>5</v>
      </c>
      <c r="K254" s="4" t="n">
        <f aca="false">I254-J254</f>
        <v>0</v>
      </c>
    </row>
    <row r="255" customFormat="false" ht="15" hidden="false" customHeight="false" outlineLevel="0" collapsed="false">
      <c r="A255" s="4" t="s">
        <v>93</v>
      </c>
      <c r="B255" s="4" t="s">
        <v>94</v>
      </c>
      <c r="C255" s="4" t="s">
        <v>5</v>
      </c>
      <c r="D255" s="4" t="s">
        <v>88</v>
      </c>
      <c r="E255" s="4" t="s">
        <v>68</v>
      </c>
      <c r="F255" s="4" t="n">
        <v>6</v>
      </c>
      <c r="G255" s="4" t="s">
        <v>203</v>
      </c>
      <c r="H255" s="4" t="s">
        <v>202</v>
      </c>
      <c r="I255" s="4" t="n">
        <v>5</v>
      </c>
      <c r="J255" s="4" t="n">
        <v>5</v>
      </c>
      <c r="K255" s="4" t="n">
        <f aca="false">I255-J255</f>
        <v>0</v>
      </c>
    </row>
    <row r="256" customFormat="false" ht="15" hidden="false" customHeight="false" outlineLevel="0" collapsed="false">
      <c r="A256" s="4" t="s">
        <v>93</v>
      </c>
      <c r="B256" s="4" t="s">
        <v>94</v>
      </c>
      <c r="C256" s="4" t="s">
        <v>5</v>
      </c>
      <c r="D256" s="4" t="s">
        <v>88</v>
      </c>
      <c r="E256" s="4" t="s">
        <v>68</v>
      </c>
      <c r="F256" s="4" t="n">
        <v>7</v>
      </c>
      <c r="G256" s="4" t="s">
        <v>204</v>
      </c>
      <c r="H256" s="4" t="s">
        <v>205</v>
      </c>
      <c r="I256" s="4" t="n">
        <v>5</v>
      </c>
      <c r="J256" s="4" t="n">
        <v>5</v>
      </c>
      <c r="K256" s="4" t="n">
        <f aca="false">I256-J256</f>
        <v>0</v>
      </c>
    </row>
    <row r="257" customFormat="false" ht="15" hidden="false" customHeight="false" outlineLevel="0" collapsed="false">
      <c r="A257" s="4" t="s">
        <v>93</v>
      </c>
      <c r="B257" s="4" t="s">
        <v>94</v>
      </c>
      <c r="C257" s="4" t="s">
        <v>5</v>
      </c>
      <c r="D257" s="4" t="s">
        <v>88</v>
      </c>
      <c r="E257" s="4" t="s">
        <v>68</v>
      </c>
      <c r="F257" s="4" t="n">
        <v>8</v>
      </c>
      <c r="G257" s="4" t="s">
        <v>206</v>
      </c>
      <c r="H257" s="4" t="s">
        <v>205</v>
      </c>
      <c r="I257" s="4" t="n">
        <v>5</v>
      </c>
      <c r="J257" s="4" t="n">
        <v>5</v>
      </c>
      <c r="K257" s="4" t="n">
        <f aca="false">I257-J257</f>
        <v>0</v>
      </c>
    </row>
    <row r="258" customFormat="false" ht="15" hidden="false" customHeight="false" outlineLevel="0" collapsed="false">
      <c r="A258" s="4" t="s">
        <v>93</v>
      </c>
      <c r="B258" s="4" t="s">
        <v>94</v>
      </c>
      <c r="C258" s="4" t="s">
        <v>5</v>
      </c>
      <c r="D258" s="4" t="s">
        <v>88</v>
      </c>
      <c r="E258" s="4" t="s">
        <v>68</v>
      </c>
      <c r="F258" s="4" t="n">
        <v>9</v>
      </c>
      <c r="G258" s="4" t="s">
        <v>207</v>
      </c>
      <c r="H258" s="4" t="s">
        <v>208</v>
      </c>
      <c r="I258" s="4" t="n">
        <v>5</v>
      </c>
      <c r="J258" s="4" t="n">
        <v>5</v>
      </c>
      <c r="K258" s="4" t="n">
        <f aca="false">I258-J258</f>
        <v>0</v>
      </c>
    </row>
    <row r="259" customFormat="false" ht="15" hidden="false" customHeight="false" outlineLevel="0" collapsed="false">
      <c r="A259" s="4" t="s">
        <v>93</v>
      </c>
      <c r="B259" s="4" t="s">
        <v>94</v>
      </c>
      <c r="C259" s="4" t="s">
        <v>5</v>
      </c>
      <c r="D259" s="4" t="s">
        <v>88</v>
      </c>
      <c r="E259" s="4" t="s">
        <v>68</v>
      </c>
      <c r="F259" s="4" t="n">
        <v>10</v>
      </c>
      <c r="G259" s="4" t="s">
        <v>209</v>
      </c>
      <c r="H259" s="4" t="s">
        <v>208</v>
      </c>
      <c r="I259" s="4" t="n">
        <v>5</v>
      </c>
      <c r="J259" s="4" t="n">
        <v>5</v>
      </c>
      <c r="K259" s="4" t="n">
        <f aca="false">I259-J259</f>
        <v>0</v>
      </c>
    </row>
    <row r="260" customFormat="false" ht="15" hidden="false" customHeight="false" outlineLevel="0" collapsed="false">
      <c r="A260" s="4" t="s">
        <v>93</v>
      </c>
      <c r="B260" s="4" t="s">
        <v>94</v>
      </c>
      <c r="C260" s="4" t="s">
        <v>5</v>
      </c>
      <c r="D260" s="4" t="s">
        <v>88</v>
      </c>
      <c r="E260" s="4" t="s">
        <v>68</v>
      </c>
      <c r="F260" s="4" t="n">
        <v>14</v>
      </c>
      <c r="G260" s="4" t="s">
        <v>199</v>
      </c>
      <c r="H260" s="4" t="s">
        <v>200</v>
      </c>
      <c r="I260" s="4" t="n">
        <v>5</v>
      </c>
      <c r="J260" s="4" t="n">
        <v>5</v>
      </c>
      <c r="K260" s="4" t="n">
        <f aca="false">I260-J260</f>
        <v>0</v>
      </c>
    </row>
    <row r="261" customFormat="false" ht="15" hidden="false" customHeight="false" outlineLevel="0" collapsed="false">
      <c r="A261" s="4" t="s">
        <v>95</v>
      </c>
      <c r="B261" s="4" t="s">
        <v>96</v>
      </c>
      <c r="C261" s="4" t="s">
        <v>7</v>
      </c>
      <c r="D261" s="4" t="s">
        <v>97</v>
      </c>
      <c r="E261" s="4" t="s">
        <v>98</v>
      </c>
      <c r="F261" s="4" t="n">
        <v>1</v>
      </c>
      <c r="G261" s="4" t="s">
        <v>191</v>
      </c>
      <c r="H261" s="4" t="s">
        <v>192</v>
      </c>
      <c r="I261" s="4" t="n">
        <v>5</v>
      </c>
      <c r="J261" s="4" t="n">
        <v>5</v>
      </c>
      <c r="K261" s="4" t="n">
        <f aca="false">I261-J261</f>
        <v>0</v>
      </c>
    </row>
    <row r="262" customFormat="false" ht="15" hidden="false" customHeight="false" outlineLevel="0" collapsed="false">
      <c r="A262" s="4" t="s">
        <v>95</v>
      </c>
      <c r="B262" s="4" t="s">
        <v>96</v>
      </c>
      <c r="C262" s="4" t="s">
        <v>7</v>
      </c>
      <c r="D262" s="4" t="s">
        <v>97</v>
      </c>
      <c r="E262" s="4" t="s">
        <v>98</v>
      </c>
      <c r="F262" s="4" t="n">
        <v>2</v>
      </c>
      <c r="G262" s="4" t="s">
        <v>193</v>
      </c>
      <c r="H262" s="4" t="s">
        <v>192</v>
      </c>
      <c r="I262" s="4" t="n">
        <v>3</v>
      </c>
      <c r="J262" s="4" t="n">
        <v>3</v>
      </c>
      <c r="K262" s="4" t="n">
        <f aca="false">I262-J262</f>
        <v>0</v>
      </c>
    </row>
    <row r="263" customFormat="false" ht="15" hidden="false" customHeight="false" outlineLevel="0" collapsed="false">
      <c r="A263" s="4" t="s">
        <v>95</v>
      </c>
      <c r="B263" s="4" t="s">
        <v>96</v>
      </c>
      <c r="C263" s="4" t="s">
        <v>7</v>
      </c>
      <c r="D263" s="4" t="s">
        <v>97</v>
      </c>
      <c r="E263" s="4" t="s">
        <v>98</v>
      </c>
      <c r="F263" s="4" t="n">
        <v>3</v>
      </c>
      <c r="G263" s="4" t="s">
        <v>194</v>
      </c>
      <c r="H263" s="4" t="s">
        <v>192</v>
      </c>
      <c r="I263" s="4" t="n">
        <v>5</v>
      </c>
      <c r="J263" s="4" t="n">
        <v>4</v>
      </c>
      <c r="K263" s="4" t="n">
        <f aca="false">I263-J263</f>
        <v>1</v>
      </c>
    </row>
    <row r="264" customFormat="false" ht="15" hidden="false" customHeight="false" outlineLevel="0" collapsed="false">
      <c r="A264" s="4" t="s">
        <v>95</v>
      </c>
      <c r="B264" s="4" t="s">
        <v>96</v>
      </c>
      <c r="C264" s="4" t="s">
        <v>7</v>
      </c>
      <c r="D264" s="4" t="s">
        <v>97</v>
      </c>
      <c r="E264" s="4" t="s">
        <v>98</v>
      </c>
      <c r="F264" s="4" t="n">
        <v>11</v>
      </c>
      <c r="G264" s="4" t="s">
        <v>195</v>
      </c>
      <c r="H264" s="4" t="s">
        <v>196</v>
      </c>
      <c r="I264" s="4" t="n">
        <v>4</v>
      </c>
      <c r="J264" s="4" t="n">
        <v>4</v>
      </c>
      <c r="K264" s="4" t="n">
        <f aca="false">I264-J264</f>
        <v>0</v>
      </c>
    </row>
    <row r="265" customFormat="false" ht="15" hidden="false" customHeight="false" outlineLevel="0" collapsed="false">
      <c r="A265" s="4" t="s">
        <v>95</v>
      </c>
      <c r="B265" s="4" t="s">
        <v>96</v>
      </c>
      <c r="C265" s="4" t="s">
        <v>7</v>
      </c>
      <c r="D265" s="4" t="s">
        <v>97</v>
      </c>
      <c r="E265" s="4" t="s">
        <v>98</v>
      </c>
      <c r="F265" s="4" t="n">
        <v>12</v>
      </c>
      <c r="G265" s="4" t="s">
        <v>197</v>
      </c>
      <c r="H265" s="4" t="s">
        <v>196</v>
      </c>
      <c r="I265" s="4" t="n">
        <v>3</v>
      </c>
      <c r="J265" s="4" t="n">
        <v>3</v>
      </c>
      <c r="K265" s="4" t="n">
        <f aca="false">I265-J265</f>
        <v>0</v>
      </c>
    </row>
    <row r="266" customFormat="false" ht="15" hidden="false" customHeight="false" outlineLevel="0" collapsed="false">
      <c r="A266" s="4" t="s">
        <v>95</v>
      </c>
      <c r="B266" s="4" t="s">
        <v>96</v>
      </c>
      <c r="C266" s="4" t="s">
        <v>7</v>
      </c>
      <c r="D266" s="4" t="s">
        <v>97</v>
      </c>
      <c r="E266" s="4" t="s">
        <v>98</v>
      </c>
      <c r="F266" s="4" t="n">
        <v>13</v>
      </c>
      <c r="G266" s="4" t="s">
        <v>198</v>
      </c>
      <c r="H266" s="4" t="s">
        <v>196</v>
      </c>
      <c r="I266" s="4" t="n">
        <v>5</v>
      </c>
      <c r="J266" s="4" t="n">
        <v>4</v>
      </c>
      <c r="K266" s="4" t="n">
        <f aca="false">I266-J266</f>
        <v>1</v>
      </c>
    </row>
    <row r="267" customFormat="false" ht="15" hidden="false" customHeight="false" outlineLevel="0" collapsed="false">
      <c r="A267" s="4" t="s">
        <v>95</v>
      </c>
      <c r="B267" s="4" t="s">
        <v>96</v>
      </c>
      <c r="C267" s="4" t="s">
        <v>7</v>
      </c>
      <c r="D267" s="4" t="s">
        <v>97</v>
      </c>
      <c r="E267" s="4" t="s">
        <v>98</v>
      </c>
      <c r="F267" s="4" t="n">
        <v>14</v>
      </c>
      <c r="G267" s="4" t="s">
        <v>199</v>
      </c>
      <c r="H267" s="4" t="s">
        <v>200</v>
      </c>
      <c r="I267" s="4" t="n">
        <v>4</v>
      </c>
      <c r="J267" s="4" t="n">
        <v>4</v>
      </c>
      <c r="K267" s="4" t="n">
        <f aca="false">I267-J267</f>
        <v>0</v>
      </c>
    </row>
    <row r="268" customFormat="false" ht="15" hidden="false" customHeight="false" outlineLevel="0" collapsed="false">
      <c r="A268" s="4" t="s">
        <v>99</v>
      </c>
      <c r="B268" s="4" t="s">
        <v>100</v>
      </c>
      <c r="C268" s="4" t="s">
        <v>5</v>
      </c>
      <c r="D268" s="4" t="s">
        <v>97</v>
      </c>
      <c r="E268" s="4" t="s">
        <v>98</v>
      </c>
      <c r="F268" s="4" t="n">
        <v>1</v>
      </c>
      <c r="G268" s="4" t="s">
        <v>191</v>
      </c>
      <c r="H268" s="4" t="s">
        <v>192</v>
      </c>
      <c r="I268" s="4" t="n">
        <v>3</v>
      </c>
      <c r="J268" s="4" t="n">
        <v>3</v>
      </c>
      <c r="K268" s="4" t="n">
        <f aca="false">I268-J268</f>
        <v>0</v>
      </c>
    </row>
    <row r="269" customFormat="false" ht="15" hidden="false" customHeight="false" outlineLevel="0" collapsed="false">
      <c r="A269" s="4" t="s">
        <v>99</v>
      </c>
      <c r="B269" s="4" t="s">
        <v>100</v>
      </c>
      <c r="C269" s="4" t="s">
        <v>5</v>
      </c>
      <c r="D269" s="4" t="s">
        <v>97</v>
      </c>
      <c r="E269" s="4" t="s">
        <v>98</v>
      </c>
      <c r="F269" s="4" t="n">
        <v>2</v>
      </c>
      <c r="G269" s="4" t="s">
        <v>193</v>
      </c>
      <c r="H269" s="4" t="s">
        <v>192</v>
      </c>
      <c r="I269" s="4" t="n">
        <v>5</v>
      </c>
      <c r="J269" s="4" t="n">
        <v>4</v>
      </c>
      <c r="K269" s="4" t="n">
        <f aca="false">I269-J269</f>
        <v>1</v>
      </c>
    </row>
    <row r="270" customFormat="false" ht="15" hidden="false" customHeight="false" outlineLevel="0" collapsed="false">
      <c r="A270" s="4" t="s">
        <v>99</v>
      </c>
      <c r="B270" s="4" t="s">
        <v>100</v>
      </c>
      <c r="C270" s="4" t="s">
        <v>5</v>
      </c>
      <c r="D270" s="4" t="s">
        <v>97</v>
      </c>
      <c r="E270" s="4" t="s">
        <v>98</v>
      </c>
      <c r="F270" s="4" t="n">
        <v>3</v>
      </c>
      <c r="G270" s="4" t="s">
        <v>194</v>
      </c>
      <c r="H270" s="4" t="s">
        <v>192</v>
      </c>
      <c r="I270" s="4" t="n">
        <v>4</v>
      </c>
      <c r="J270" s="4" t="n">
        <v>4</v>
      </c>
      <c r="K270" s="4" t="n">
        <f aca="false">I270-J270</f>
        <v>0</v>
      </c>
    </row>
    <row r="271" customFormat="false" ht="15" hidden="false" customHeight="false" outlineLevel="0" collapsed="false">
      <c r="A271" s="4" t="s">
        <v>99</v>
      </c>
      <c r="B271" s="4" t="s">
        <v>100</v>
      </c>
      <c r="C271" s="4" t="s">
        <v>5</v>
      </c>
      <c r="D271" s="4" t="s">
        <v>97</v>
      </c>
      <c r="E271" s="4" t="s">
        <v>98</v>
      </c>
      <c r="F271" s="4" t="n">
        <v>5</v>
      </c>
      <c r="G271" s="4" t="s">
        <v>201</v>
      </c>
      <c r="H271" s="4" t="s">
        <v>202</v>
      </c>
      <c r="I271" s="4" t="n">
        <v>5</v>
      </c>
      <c r="J271" s="4" t="n">
        <v>4</v>
      </c>
      <c r="K271" s="4" t="n">
        <f aca="false">I271-J271</f>
        <v>1</v>
      </c>
    </row>
    <row r="272" customFormat="false" ht="15" hidden="false" customHeight="false" outlineLevel="0" collapsed="false">
      <c r="A272" s="4" t="s">
        <v>99</v>
      </c>
      <c r="B272" s="4" t="s">
        <v>100</v>
      </c>
      <c r="C272" s="4" t="s">
        <v>5</v>
      </c>
      <c r="D272" s="4" t="s">
        <v>97</v>
      </c>
      <c r="E272" s="4" t="s">
        <v>98</v>
      </c>
      <c r="F272" s="4" t="n">
        <v>6</v>
      </c>
      <c r="G272" s="4" t="s">
        <v>203</v>
      </c>
      <c r="H272" s="4" t="s">
        <v>202</v>
      </c>
      <c r="I272" s="4" t="n">
        <v>4</v>
      </c>
      <c r="J272" s="4" t="n">
        <v>4</v>
      </c>
      <c r="K272" s="4" t="n">
        <f aca="false">I272-J272</f>
        <v>0</v>
      </c>
    </row>
    <row r="273" customFormat="false" ht="15" hidden="false" customHeight="false" outlineLevel="0" collapsed="false">
      <c r="A273" s="4" t="s">
        <v>99</v>
      </c>
      <c r="B273" s="4" t="s">
        <v>100</v>
      </c>
      <c r="C273" s="4" t="s">
        <v>5</v>
      </c>
      <c r="D273" s="4" t="s">
        <v>97</v>
      </c>
      <c r="E273" s="4" t="s">
        <v>98</v>
      </c>
      <c r="F273" s="4" t="n">
        <v>7</v>
      </c>
      <c r="G273" s="4" t="s">
        <v>204</v>
      </c>
      <c r="H273" s="4" t="s">
        <v>205</v>
      </c>
      <c r="I273" s="4" t="n">
        <v>4</v>
      </c>
      <c r="J273" s="4" t="n">
        <v>3</v>
      </c>
      <c r="K273" s="4" t="n">
        <f aca="false">I273-J273</f>
        <v>1</v>
      </c>
    </row>
    <row r="274" customFormat="false" ht="15" hidden="false" customHeight="false" outlineLevel="0" collapsed="false">
      <c r="A274" s="4" t="s">
        <v>99</v>
      </c>
      <c r="B274" s="4" t="s">
        <v>100</v>
      </c>
      <c r="C274" s="4" t="s">
        <v>5</v>
      </c>
      <c r="D274" s="4" t="s">
        <v>97</v>
      </c>
      <c r="E274" s="4" t="s">
        <v>98</v>
      </c>
      <c r="F274" s="4" t="n">
        <v>8</v>
      </c>
      <c r="G274" s="4" t="s">
        <v>206</v>
      </c>
      <c r="H274" s="4" t="s">
        <v>205</v>
      </c>
      <c r="I274" s="4" t="n">
        <v>3</v>
      </c>
      <c r="J274" s="4" t="n">
        <v>3</v>
      </c>
      <c r="K274" s="4" t="n">
        <f aca="false">I274-J274</f>
        <v>0</v>
      </c>
    </row>
    <row r="275" customFormat="false" ht="15" hidden="false" customHeight="false" outlineLevel="0" collapsed="false">
      <c r="A275" s="4" t="s">
        <v>99</v>
      </c>
      <c r="B275" s="4" t="s">
        <v>100</v>
      </c>
      <c r="C275" s="4" t="s">
        <v>5</v>
      </c>
      <c r="D275" s="4" t="s">
        <v>97</v>
      </c>
      <c r="E275" s="4" t="s">
        <v>98</v>
      </c>
      <c r="F275" s="4" t="n">
        <v>9</v>
      </c>
      <c r="G275" s="4" t="s">
        <v>207</v>
      </c>
      <c r="H275" s="4" t="s">
        <v>208</v>
      </c>
      <c r="I275" s="4" t="n">
        <v>1</v>
      </c>
      <c r="J275" s="4" t="n">
        <v>2</v>
      </c>
      <c r="K275" s="4" t="n">
        <f aca="false">I275-J275</f>
        <v>-1</v>
      </c>
    </row>
    <row r="276" customFormat="false" ht="15" hidden="false" customHeight="false" outlineLevel="0" collapsed="false">
      <c r="A276" s="4" t="s">
        <v>99</v>
      </c>
      <c r="B276" s="4" t="s">
        <v>100</v>
      </c>
      <c r="C276" s="4" t="s">
        <v>5</v>
      </c>
      <c r="D276" s="4" t="s">
        <v>97</v>
      </c>
      <c r="E276" s="4" t="s">
        <v>98</v>
      </c>
      <c r="F276" s="4" t="n">
        <v>10</v>
      </c>
      <c r="G276" s="4" t="s">
        <v>209</v>
      </c>
      <c r="H276" s="4" t="s">
        <v>208</v>
      </c>
      <c r="I276" s="4" t="n">
        <v>4</v>
      </c>
      <c r="J276" s="4" t="n">
        <v>4</v>
      </c>
      <c r="K276" s="4" t="n">
        <f aca="false">I276-J276</f>
        <v>0</v>
      </c>
    </row>
    <row r="277" customFormat="false" ht="15" hidden="false" customHeight="false" outlineLevel="0" collapsed="false">
      <c r="A277" s="4" t="s">
        <v>99</v>
      </c>
      <c r="B277" s="4" t="s">
        <v>100</v>
      </c>
      <c r="C277" s="4" t="s">
        <v>5</v>
      </c>
      <c r="D277" s="4" t="s">
        <v>97</v>
      </c>
      <c r="E277" s="4" t="s">
        <v>98</v>
      </c>
      <c r="F277" s="4" t="n">
        <v>14</v>
      </c>
      <c r="G277" s="4" t="s">
        <v>199</v>
      </c>
      <c r="H277" s="4" t="s">
        <v>200</v>
      </c>
      <c r="I277" s="4" t="n">
        <v>4</v>
      </c>
      <c r="J277" s="4" t="n">
        <v>4</v>
      </c>
      <c r="K277" s="4" t="n">
        <f aca="false">I277-J277</f>
        <v>0</v>
      </c>
    </row>
    <row r="278" customFormat="false" ht="15" hidden="false" customHeight="false" outlineLevel="0" collapsed="false">
      <c r="A278" s="4" t="s">
        <v>101</v>
      </c>
      <c r="B278" s="4" t="s">
        <v>102</v>
      </c>
      <c r="C278" s="4" t="s">
        <v>5</v>
      </c>
      <c r="D278" s="4" t="s">
        <v>97</v>
      </c>
      <c r="E278" s="4" t="s">
        <v>98</v>
      </c>
      <c r="F278" s="4" t="n">
        <v>1</v>
      </c>
      <c r="G278" s="4" t="s">
        <v>191</v>
      </c>
      <c r="H278" s="4" t="s">
        <v>192</v>
      </c>
      <c r="I278" s="4" t="n">
        <v>4</v>
      </c>
      <c r="J278" s="4" t="n">
        <v>4</v>
      </c>
      <c r="K278" s="4" t="n">
        <f aca="false">I278-J278</f>
        <v>0</v>
      </c>
    </row>
    <row r="279" customFormat="false" ht="15" hidden="false" customHeight="false" outlineLevel="0" collapsed="false">
      <c r="A279" s="4" t="s">
        <v>101</v>
      </c>
      <c r="B279" s="4" t="s">
        <v>102</v>
      </c>
      <c r="C279" s="4" t="s">
        <v>5</v>
      </c>
      <c r="D279" s="4" t="s">
        <v>97</v>
      </c>
      <c r="E279" s="4" t="s">
        <v>98</v>
      </c>
      <c r="F279" s="4" t="n">
        <v>2</v>
      </c>
      <c r="G279" s="4" t="s">
        <v>193</v>
      </c>
      <c r="H279" s="4" t="s">
        <v>192</v>
      </c>
      <c r="I279" s="4" t="n">
        <v>5</v>
      </c>
      <c r="J279" s="4" t="n">
        <v>3</v>
      </c>
      <c r="K279" s="4" t="n">
        <f aca="false">I279-J279</f>
        <v>2</v>
      </c>
    </row>
    <row r="280" customFormat="false" ht="15" hidden="false" customHeight="false" outlineLevel="0" collapsed="false">
      <c r="A280" s="4" t="s">
        <v>101</v>
      </c>
      <c r="B280" s="4" t="s">
        <v>102</v>
      </c>
      <c r="C280" s="4" t="s">
        <v>5</v>
      </c>
      <c r="D280" s="4" t="s">
        <v>97</v>
      </c>
      <c r="E280" s="4" t="s">
        <v>98</v>
      </c>
      <c r="F280" s="4" t="n">
        <v>3</v>
      </c>
      <c r="G280" s="4" t="s">
        <v>194</v>
      </c>
      <c r="H280" s="4" t="s">
        <v>192</v>
      </c>
      <c r="I280" s="4" t="n">
        <v>4</v>
      </c>
      <c r="J280" s="4" t="n">
        <v>4</v>
      </c>
      <c r="K280" s="4" t="n">
        <f aca="false">I280-J280</f>
        <v>0</v>
      </c>
    </row>
    <row r="281" customFormat="false" ht="15" hidden="false" customHeight="false" outlineLevel="0" collapsed="false">
      <c r="A281" s="4" t="s">
        <v>101</v>
      </c>
      <c r="B281" s="4" t="s">
        <v>102</v>
      </c>
      <c r="C281" s="4" t="s">
        <v>5</v>
      </c>
      <c r="D281" s="4" t="s">
        <v>97</v>
      </c>
      <c r="E281" s="4" t="s">
        <v>98</v>
      </c>
      <c r="F281" s="4" t="n">
        <v>5</v>
      </c>
      <c r="G281" s="4" t="s">
        <v>201</v>
      </c>
      <c r="H281" s="4" t="s">
        <v>202</v>
      </c>
      <c r="I281" s="4" t="n">
        <v>4</v>
      </c>
      <c r="J281" s="4" t="n">
        <v>5</v>
      </c>
      <c r="K281" s="4" t="n">
        <f aca="false">I281-J281</f>
        <v>-1</v>
      </c>
    </row>
    <row r="282" customFormat="false" ht="15" hidden="false" customHeight="false" outlineLevel="0" collapsed="false">
      <c r="A282" s="4" t="s">
        <v>101</v>
      </c>
      <c r="B282" s="4" t="s">
        <v>102</v>
      </c>
      <c r="C282" s="4" t="s">
        <v>5</v>
      </c>
      <c r="D282" s="4" t="s">
        <v>97</v>
      </c>
      <c r="E282" s="4" t="s">
        <v>98</v>
      </c>
      <c r="F282" s="4" t="n">
        <v>6</v>
      </c>
      <c r="G282" s="4" t="s">
        <v>203</v>
      </c>
      <c r="H282" s="4" t="s">
        <v>202</v>
      </c>
      <c r="I282" s="4" t="n">
        <v>4</v>
      </c>
      <c r="J282" s="4" t="n">
        <v>3</v>
      </c>
      <c r="K282" s="4" t="n">
        <f aca="false">I282-J282</f>
        <v>1</v>
      </c>
    </row>
    <row r="283" customFormat="false" ht="15" hidden="false" customHeight="false" outlineLevel="0" collapsed="false">
      <c r="A283" s="4" t="s">
        <v>101</v>
      </c>
      <c r="B283" s="4" t="s">
        <v>102</v>
      </c>
      <c r="C283" s="4" t="s">
        <v>5</v>
      </c>
      <c r="D283" s="4" t="s">
        <v>97</v>
      </c>
      <c r="E283" s="4" t="s">
        <v>98</v>
      </c>
      <c r="F283" s="4" t="n">
        <v>7</v>
      </c>
      <c r="G283" s="4" t="s">
        <v>204</v>
      </c>
      <c r="H283" s="4" t="s">
        <v>205</v>
      </c>
      <c r="I283" s="4" t="n">
        <v>3</v>
      </c>
      <c r="J283" s="4" t="n">
        <v>3</v>
      </c>
      <c r="K283" s="4" t="n">
        <f aca="false">I283-J283</f>
        <v>0</v>
      </c>
    </row>
    <row r="284" customFormat="false" ht="15" hidden="false" customHeight="false" outlineLevel="0" collapsed="false">
      <c r="A284" s="4" t="s">
        <v>101</v>
      </c>
      <c r="B284" s="4" t="s">
        <v>102</v>
      </c>
      <c r="C284" s="4" t="s">
        <v>5</v>
      </c>
      <c r="D284" s="4" t="s">
        <v>97</v>
      </c>
      <c r="E284" s="4" t="s">
        <v>98</v>
      </c>
      <c r="F284" s="4" t="n">
        <v>8</v>
      </c>
      <c r="G284" s="4" t="s">
        <v>206</v>
      </c>
      <c r="H284" s="4" t="s">
        <v>205</v>
      </c>
      <c r="I284" s="4" t="n">
        <v>2</v>
      </c>
      <c r="J284" s="4" t="n">
        <v>3</v>
      </c>
      <c r="K284" s="4" t="n">
        <f aca="false">I284-J284</f>
        <v>-1</v>
      </c>
    </row>
    <row r="285" customFormat="false" ht="15" hidden="false" customHeight="false" outlineLevel="0" collapsed="false">
      <c r="A285" s="4" t="s">
        <v>101</v>
      </c>
      <c r="B285" s="4" t="s">
        <v>102</v>
      </c>
      <c r="C285" s="4" t="s">
        <v>5</v>
      </c>
      <c r="D285" s="4" t="s">
        <v>97</v>
      </c>
      <c r="E285" s="4" t="s">
        <v>98</v>
      </c>
      <c r="F285" s="4" t="n">
        <v>9</v>
      </c>
      <c r="G285" s="4" t="s">
        <v>207</v>
      </c>
      <c r="H285" s="4" t="s">
        <v>208</v>
      </c>
      <c r="I285" s="4" t="n">
        <v>4</v>
      </c>
      <c r="J285" s="4" t="n">
        <v>3</v>
      </c>
      <c r="K285" s="4" t="n">
        <f aca="false">I285-J285</f>
        <v>1</v>
      </c>
    </row>
    <row r="286" customFormat="false" ht="15" hidden="false" customHeight="false" outlineLevel="0" collapsed="false">
      <c r="A286" s="4" t="s">
        <v>101</v>
      </c>
      <c r="B286" s="4" t="s">
        <v>102</v>
      </c>
      <c r="C286" s="4" t="s">
        <v>5</v>
      </c>
      <c r="D286" s="4" t="s">
        <v>97</v>
      </c>
      <c r="E286" s="4" t="s">
        <v>98</v>
      </c>
      <c r="F286" s="4" t="n">
        <v>10</v>
      </c>
      <c r="G286" s="4" t="s">
        <v>209</v>
      </c>
      <c r="H286" s="4" t="s">
        <v>208</v>
      </c>
      <c r="I286" s="4" t="n">
        <v>3</v>
      </c>
      <c r="J286" s="4" t="n">
        <v>3</v>
      </c>
      <c r="K286" s="4" t="n">
        <f aca="false">I286-J286</f>
        <v>0</v>
      </c>
    </row>
    <row r="287" customFormat="false" ht="15" hidden="false" customHeight="false" outlineLevel="0" collapsed="false">
      <c r="A287" s="4" t="s">
        <v>101</v>
      </c>
      <c r="B287" s="4" t="s">
        <v>102</v>
      </c>
      <c r="C287" s="4" t="s">
        <v>5</v>
      </c>
      <c r="D287" s="4" t="s">
        <v>97</v>
      </c>
      <c r="E287" s="4" t="s">
        <v>98</v>
      </c>
      <c r="F287" s="4" t="n">
        <v>14</v>
      </c>
      <c r="G287" s="4" t="s">
        <v>199</v>
      </c>
      <c r="H287" s="4" t="s">
        <v>200</v>
      </c>
      <c r="I287" s="4" t="n">
        <v>4</v>
      </c>
      <c r="J287" s="4" t="n">
        <v>4</v>
      </c>
      <c r="K287" s="4" t="n">
        <f aca="false">I287-J287</f>
        <v>0</v>
      </c>
    </row>
    <row r="288" customFormat="false" ht="15" hidden="false" customHeight="false" outlineLevel="0" collapsed="false">
      <c r="A288" s="4" t="s">
        <v>103</v>
      </c>
      <c r="B288" s="4" t="s">
        <v>104</v>
      </c>
      <c r="C288" s="4" t="s">
        <v>5</v>
      </c>
      <c r="D288" s="4" t="s">
        <v>97</v>
      </c>
      <c r="E288" s="4" t="s">
        <v>98</v>
      </c>
      <c r="F288" s="4" t="n">
        <v>1</v>
      </c>
      <c r="G288" s="4" t="s">
        <v>191</v>
      </c>
      <c r="H288" s="4" t="s">
        <v>192</v>
      </c>
      <c r="I288" s="4" t="n">
        <v>3</v>
      </c>
      <c r="J288" s="4" t="n">
        <v>3</v>
      </c>
      <c r="K288" s="4" t="n">
        <f aca="false">I288-J288</f>
        <v>0</v>
      </c>
    </row>
    <row r="289" customFormat="false" ht="15" hidden="false" customHeight="false" outlineLevel="0" collapsed="false">
      <c r="A289" s="4" t="s">
        <v>103</v>
      </c>
      <c r="B289" s="4" t="s">
        <v>104</v>
      </c>
      <c r="C289" s="4" t="s">
        <v>5</v>
      </c>
      <c r="D289" s="4" t="s">
        <v>97</v>
      </c>
      <c r="E289" s="4" t="s">
        <v>98</v>
      </c>
      <c r="F289" s="4" t="n">
        <v>2</v>
      </c>
      <c r="G289" s="4" t="s">
        <v>193</v>
      </c>
      <c r="H289" s="4" t="s">
        <v>192</v>
      </c>
      <c r="I289" s="4" t="n">
        <v>3</v>
      </c>
      <c r="J289" s="4" t="n">
        <v>4</v>
      </c>
      <c r="K289" s="4" t="n">
        <f aca="false">I289-J289</f>
        <v>-1</v>
      </c>
    </row>
    <row r="290" customFormat="false" ht="15" hidden="false" customHeight="false" outlineLevel="0" collapsed="false">
      <c r="A290" s="4" t="s">
        <v>103</v>
      </c>
      <c r="B290" s="4" t="s">
        <v>104</v>
      </c>
      <c r="C290" s="4" t="s">
        <v>5</v>
      </c>
      <c r="D290" s="4" t="s">
        <v>97</v>
      </c>
      <c r="E290" s="4" t="s">
        <v>98</v>
      </c>
      <c r="F290" s="4" t="n">
        <v>3</v>
      </c>
      <c r="G290" s="4" t="s">
        <v>194</v>
      </c>
      <c r="H290" s="4" t="s">
        <v>192</v>
      </c>
      <c r="I290" s="4" t="n">
        <v>5</v>
      </c>
      <c r="J290" s="4" t="n">
        <v>5</v>
      </c>
      <c r="K290" s="4" t="n">
        <f aca="false">I290-J290</f>
        <v>0</v>
      </c>
    </row>
    <row r="291" customFormat="false" ht="15" hidden="false" customHeight="false" outlineLevel="0" collapsed="false">
      <c r="A291" s="4" t="s">
        <v>103</v>
      </c>
      <c r="B291" s="4" t="s">
        <v>104</v>
      </c>
      <c r="C291" s="4" t="s">
        <v>5</v>
      </c>
      <c r="D291" s="4" t="s">
        <v>97</v>
      </c>
      <c r="E291" s="4" t="s">
        <v>98</v>
      </c>
      <c r="F291" s="4" t="n">
        <v>5</v>
      </c>
      <c r="G291" s="4" t="s">
        <v>201</v>
      </c>
      <c r="H291" s="4" t="s">
        <v>202</v>
      </c>
      <c r="I291" s="4" t="n">
        <v>3</v>
      </c>
      <c r="J291" s="4" t="n">
        <v>3</v>
      </c>
      <c r="K291" s="4" t="n">
        <f aca="false">I291-J291</f>
        <v>0</v>
      </c>
    </row>
    <row r="292" customFormat="false" ht="15" hidden="false" customHeight="false" outlineLevel="0" collapsed="false">
      <c r="A292" s="4" t="s">
        <v>103</v>
      </c>
      <c r="B292" s="4" t="s">
        <v>104</v>
      </c>
      <c r="C292" s="4" t="s">
        <v>5</v>
      </c>
      <c r="D292" s="4" t="s">
        <v>97</v>
      </c>
      <c r="E292" s="4" t="s">
        <v>98</v>
      </c>
      <c r="F292" s="4" t="n">
        <v>6</v>
      </c>
      <c r="G292" s="4" t="s">
        <v>203</v>
      </c>
      <c r="H292" s="4" t="s">
        <v>202</v>
      </c>
      <c r="I292" s="4" t="n">
        <v>5</v>
      </c>
      <c r="J292" s="4" t="n">
        <v>5</v>
      </c>
      <c r="K292" s="4" t="n">
        <f aca="false">I292-J292</f>
        <v>0</v>
      </c>
    </row>
    <row r="293" customFormat="false" ht="15" hidden="false" customHeight="false" outlineLevel="0" collapsed="false">
      <c r="A293" s="4" t="s">
        <v>103</v>
      </c>
      <c r="B293" s="4" t="s">
        <v>104</v>
      </c>
      <c r="C293" s="4" t="s">
        <v>5</v>
      </c>
      <c r="D293" s="4" t="s">
        <v>97</v>
      </c>
      <c r="E293" s="4" t="s">
        <v>98</v>
      </c>
      <c r="F293" s="4" t="n">
        <v>7</v>
      </c>
      <c r="G293" s="4" t="s">
        <v>204</v>
      </c>
      <c r="H293" s="4" t="s">
        <v>205</v>
      </c>
      <c r="I293" s="4" t="n">
        <v>5</v>
      </c>
      <c r="J293" s="4" t="n">
        <v>4</v>
      </c>
      <c r="K293" s="4" t="n">
        <f aca="false">I293-J293</f>
        <v>1</v>
      </c>
    </row>
    <row r="294" customFormat="false" ht="15" hidden="false" customHeight="false" outlineLevel="0" collapsed="false">
      <c r="A294" s="4" t="s">
        <v>103</v>
      </c>
      <c r="B294" s="4" t="s">
        <v>104</v>
      </c>
      <c r="C294" s="4" t="s">
        <v>5</v>
      </c>
      <c r="D294" s="4" t="s">
        <v>97</v>
      </c>
      <c r="E294" s="4" t="s">
        <v>98</v>
      </c>
      <c r="F294" s="4" t="n">
        <v>8</v>
      </c>
      <c r="G294" s="4" t="s">
        <v>206</v>
      </c>
      <c r="H294" s="4" t="s">
        <v>205</v>
      </c>
      <c r="I294" s="4" t="n">
        <v>5</v>
      </c>
      <c r="J294" s="4" t="n">
        <v>4</v>
      </c>
      <c r="K294" s="4" t="n">
        <f aca="false">I294-J294</f>
        <v>1</v>
      </c>
    </row>
    <row r="295" customFormat="false" ht="15" hidden="false" customHeight="false" outlineLevel="0" collapsed="false">
      <c r="A295" s="4" t="s">
        <v>103</v>
      </c>
      <c r="B295" s="4" t="s">
        <v>104</v>
      </c>
      <c r="C295" s="4" t="s">
        <v>5</v>
      </c>
      <c r="D295" s="4" t="s">
        <v>97</v>
      </c>
      <c r="E295" s="4" t="s">
        <v>98</v>
      </c>
      <c r="F295" s="4" t="n">
        <v>9</v>
      </c>
      <c r="G295" s="4" t="s">
        <v>207</v>
      </c>
      <c r="H295" s="4" t="s">
        <v>208</v>
      </c>
      <c r="I295" s="4" t="n">
        <v>2</v>
      </c>
      <c r="J295" s="4" t="n">
        <v>3</v>
      </c>
      <c r="K295" s="4" t="n">
        <f aca="false">I295-J295</f>
        <v>-1</v>
      </c>
    </row>
    <row r="296" customFormat="false" ht="15" hidden="false" customHeight="false" outlineLevel="0" collapsed="false">
      <c r="A296" s="4" t="s">
        <v>103</v>
      </c>
      <c r="B296" s="4" t="s">
        <v>104</v>
      </c>
      <c r="C296" s="4" t="s">
        <v>5</v>
      </c>
      <c r="D296" s="4" t="s">
        <v>97</v>
      </c>
      <c r="E296" s="4" t="s">
        <v>98</v>
      </c>
      <c r="F296" s="4" t="n">
        <v>10</v>
      </c>
      <c r="G296" s="4" t="s">
        <v>209</v>
      </c>
      <c r="H296" s="4" t="s">
        <v>208</v>
      </c>
      <c r="I296" s="4" t="n">
        <v>2</v>
      </c>
      <c r="J296" s="4" t="n">
        <v>2</v>
      </c>
      <c r="K296" s="4" t="n">
        <f aca="false">I296-J296</f>
        <v>0</v>
      </c>
    </row>
    <row r="297" customFormat="false" ht="15" hidden="false" customHeight="false" outlineLevel="0" collapsed="false">
      <c r="A297" s="4" t="s">
        <v>103</v>
      </c>
      <c r="B297" s="4" t="s">
        <v>104</v>
      </c>
      <c r="C297" s="4" t="s">
        <v>5</v>
      </c>
      <c r="D297" s="4" t="s">
        <v>97</v>
      </c>
      <c r="E297" s="4" t="s">
        <v>98</v>
      </c>
      <c r="F297" s="4" t="n">
        <v>14</v>
      </c>
      <c r="G297" s="4" t="s">
        <v>199</v>
      </c>
      <c r="H297" s="4" t="s">
        <v>200</v>
      </c>
      <c r="I297" s="4" t="n">
        <v>4</v>
      </c>
      <c r="J297" s="4" t="n">
        <v>3</v>
      </c>
      <c r="K297" s="4" t="n">
        <f aca="false">I297-J297</f>
        <v>1</v>
      </c>
    </row>
    <row r="298" customFormat="false" ht="15" hidden="false" customHeight="false" outlineLevel="0" collapsed="false">
      <c r="A298" s="4" t="s">
        <v>105</v>
      </c>
      <c r="B298" s="4" t="s">
        <v>106</v>
      </c>
      <c r="C298" s="4" t="s">
        <v>5</v>
      </c>
      <c r="D298" s="4" t="s">
        <v>97</v>
      </c>
      <c r="E298" s="4" t="s">
        <v>98</v>
      </c>
      <c r="F298" s="4" t="n">
        <v>1</v>
      </c>
      <c r="G298" s="4" t="s">
        <v>191</v>
      </c>
      <c r="H298" s="4" t="s">
        <v>192</v>
      </c>
      <c r="I298" s="4" t="n">
        <v>5</v>
      </c>
      <c r="J298" s="4" t="n">
        <v>4</v>
      </c>
      <c r="K298" s="4" t="n">
        <f aca="false">I298-J298</f>
        <v>1</v>
      </c>
    </row>
    <row r="299" customFormat="false" ht="15" hidden="false" customHeight="false" outlineLevel="0" collapsed="false">
      <c r="A299" s="4" t="s">
        <v>105</v>
      </c>
      <c r="B299" s="4" t="s">
        <v>106</v>
      </c>
      <c r="C299" s="4" t="s">
        <v>5</v>
      </c>
      <c r="D299" s="4" t="s">
        <v>97</v>
      </c>
      <c r="E299" s="4" t="s">
        <v>98</v>
      </c>
      <c r="F299" s="4" t="n">
        <v>2</v>
      </c>
      <c r="G299" s="4" t="s">
        <v>193</v>
      </c>
      <c r="H299" s="4" t="s">
        <v>192</v>
      </c>
      <c r="I299" s="4" t="n">
        <v>5</v>
      </c>
      <c r="J299" s="4" t="n">
        <v>4</v>
      </c>
      <c r="K299" s="4" t="n">
        <f aca="false">I299-J299</f>
        <v>1</v>
      </c>
    </row>
    <row r="300" customFormat="false" ht="15" hidden="false" customHeight="false" outlineLevel="0" collapsed="false">
      <c r="A300" s="4" t="s">
        <v>105</v>
      </c>
      <c r="B300" s="4" t="s">
        <v>106</v>
      </c>
      <c r="C300" s="4" t="s">
        <v>5</v>
      </c>
      <c r="D300" s="4" t="s">
        <v>97</v>
      </c>
      <c r="E300" s="4" t="s">
        <v>98</v>
      </c>
      <c r="F300" s="4" t="n">
        <v>3</v>
      </c>
      <c r="G300" s="4" t="s">
        <v>194</v>
      </c>
      <c r="H300" s="4" t="s">
        <v>192</v>
      </c>
      <c r="I300" s="4" t="n">
        <v>5</v>
      </c>
      <c r="J300" s="4" t="n">
        <v>4</v>
      </c>
      <c r="K300" s="4" t="n">
        <f aca="false">I300-J300</f>
        <v>1</v>
      </c>
    </row>
    <row r="301" customFormat="false" ht="15" hidden="false" customHeight="false" outlineLevel="0" collapsed="false">
      <c r="A301" s="4" t="s">
        <v>105</v>
      </c>
      <c r="B301" s="4" t="s">
        <v>106</v>
      </c>
      <c r="C301" s="4" t="s">
        <v>5</v>
      </c>
      <c r="D301" s="4" t="s">
        <v>97</v>
      </c>
      <c r="E301" s="4" t="s">
        <v>98</v>
      </c>
      <c r="F301" s="4" t="n">
        <v>5</v>
      </c>
      <c r="G301" s="4" t="s">
        <v>201</v>
      </c>
      <c r="H301" s="4" t="s">
        <v>202</v>
      </c>
      <c r="I301" s="4" t="n">
        <v>3</v>
      </c>
      <c r="J301" s="4" t="n">
        <v>3</v>
      </c>
      <c r="K301" s="4" t="n">
        <f aca="false">I301-J301</f>
        <v>0</v>
      </c>
    </row>
    <row r="302" customFormat="false" ht="15" hidden="false" customHeight="false" outlineLevel="0" collapsed="false">
      <c r="A302" s="4" t="s">
        <v>105</v>
      </c>
      <c r="B302" s="4" t="s">
        <v>106</v>
      </c>
      <c r="C302" s="4" t="s">
        <v>5</v>
      </c>
      <c r="D302" s="4" t="s">
        <v>97</v>
      </c>
      <c r="E302" s="4" t="s">
        <v>98</v>
      </c>
      <c r="F302" s="4" t="n">
        <v>6</v>
      </c>
      <c r="G302" s="4" t="s">
        <v>203</v>
      </c>
      <c r="H302" s="4" t="s">
        <v>202</v>
      </c>
      <c r="I302" s="4" t="n">
        <v>2</v>
      </c>
      <c r="J302" s="4" t="n">
        <v>3</v>
      </c>
      <c r="K302" s="4" t="n">
        <f aca="false">I302-J302</f>
        <v>-1</v>
      </c>
    </row>
    <row r="303" customFormat="false" ht="15" hidden="false" customHeight="false" outlineLevel="0" collapsed="false">
      <c r="A303" s="4" t="s">
        <v>105</v>
      </c>
      <c r="B303" s="4" t="s">
        <v>106</v>
      </c>
      <c r="C303" s="4" t="s">
        <v>5</v>
      </c>
      <c r="D303" s="4" t="s">
        <v>97</v>
      </c>
      <c r="E303" s="4" t="s">
        <v>98</v>
      </c>
      <c r="F303" s="4" t="n">
        <v>7</v>
      </c>
      <c r="G303" s="4" t="s">
        <v>204</v>
      </c>
      <c r="H303" s="4" t="s">
        <v>205</v>
      </c>
      <c r="I303" s="4" t="n">
        <v>4</v>
      </c>
      <c r="J303" s="4" t="n">
        <v>4</v>
      </c>
      <c r="K303" s="4" t="n">
        <f aca="false">I303-J303</f>
        <v>0</v>
      </c>
    </row>
    <row r="304" customFormat="false" ht="15" hidden="false" customHeight="false" outlineLevel="0" collapsed="false">
      <c r="A304" s="4" t="s">
        <v>105</v>
      </c>
      <c r="B304" s="4" t="s">
        <v>106</v>
      </c>
      <c r="C304" s="4" t="s">
        <v>5</v>
      </c>
      <c r="D304" s="4" t="s">
        <v>97</v>
      </c>
      <c r="E304" s="4" t="s">
        <v>98</v>
      </c>
      <c r="F304" s="4" t="n">
        <v>8</v>
      </c>
      <c r="G304" s="4" t="s">
        <v>206</v>
      </c>
      <c r="H304" s="4" t="s">
        <v>205</v>
      </c>
      <c r="I304" s="4" t="n">
        <v>5</v>
      </c>
      <c r="J304" s="4" t="n">
        <v>4</v>
      </c>
      <c r="K304" s="4" t="n">
        <f aca="false">I304-J304</f>
        <v>1</v>
      </c>
    </row>
    <row r="305" customFormat="false" ht="15" hidden="false" customHeight="false" outlineLevel="0" collapsed="false">
      <c r="A305" s="4" t="s">
        <v>105</v>
      </c>
      <c r="B305" s="4" t="s">
        <v>106</v>
      </c>
      <c r="C305" s="4" t="s">
        <v>5</v>
      </c>
      <c r="D305" s="4" t="s">
        <v>97</v>
      </c>
      <c r="E305" s="4" t="s">
        <v>98</v>
      </c>
      <c r="F305" s="4" t="n">
        <v>9</v>
      </c>
      <c r="G305" s="4" t="s">
        <v>207</v>
      </c>
      <c r="H305" s="4" t="s">
        <v>208</v>
      </c>
      <c r="I305" s="4" t="n">
        <v>3</v>
      </c>
      <c r="J305" s="4" t="n">
        <v>3</v>
      </c>
      <c r="K305" s="4" t="n">
        <f aca="false">I305-J305</f>
        <v>0</v>
      </c>
    </row>
    <row r="306" customFormat="false" ht="15" hidden="false" customHeight="false" outlineLevel="0" collapsed="false">
      <c r="A306" s="4" t="s">
        <v>105</v>
      </c>
      <c r="B306" s="4" t="s">
        <v>106</v>
      </c>
      <c r="C306" s="4" t="s">
        <v>5</v>
      </c>
      <c r="D306" s="4" t="s">
        <v>97</v>
      </c>
      <c r="E306" s="4" t="s">
        <v>98</v>
      </c>
      <c r="F306" s="4" t="n">
        <v>10</v>
      </c>
      <c r="G306" s="4" t="s">
        <v>209</v>
      </c>
      <c r="H306" s="4" t="s">
        <v>208</v>
      </c>
      <c r="I306" s="4" t="n">
        <v>3</v>
      </c>
      <c r="J306" s="4" t="n">
        <v>4</v>
      </c>
      <c r="K306" s="4" t="n">
        <f aca="false">I306-J306</f>
        <v>-1</v>
      </c>
    </row>
    <row r="307" customFormat="false" ht="15" hidden="false" customHeight="false" outlineLevel="0" collapsed="false">
      <c r="A307" s="4" t="s">
        <v>105</v>
      </c>
      <c r="B307" s="4" t="s">
        <v>106</v>
      </c>
      <c r="C307" s="4" t="s">
        <v>5</v>
      </c>
      <c r="D307" s="4" t="s">
        <v>97</v>
      </c>
      <c r="E307" s="4" t="s">
        <v>98</v>
      </c>
      <c r="F307" s="4" t="n">
        <v>14</v>
      </c>
      <c r="G307" s="4" t="s">
        <v>199</v>
      </c>
      <c r="H307" s="4" t="s">
        <v>200</v>
      </c>
      <c r="I307" s="4" t="n">
        <v>4</v>
      </c>
      <c r="J307" s="4" t="n">
        <v>3</v>
      </c>
      <c r="K307" s="4" t="n">
        <f aca="false">I307-J307</f>
        <v>1</v>
      </c>
    </row>
    <row r="308" customFormat="false" ht="15" hidden="false" customHeight="false" outlineLevel="0" collapsed="false">
      <c r="A308" s="4" t="s">
        <v>107</v>
      </c>
      <c r="B308" s="4" t="s">
        <v>108</v>
      </c>
      <c r="C308" s="4" t="s">
        <v>7</v>
      </c>
      <c r="D308" s="4" t="s">
        <v>109</v>
      </c>
      <c r="E308" s="4" t="s">
        <v>98</v>
      </c>
      <c r="F308" s="4" t="n">
        <v>1</v>
      </c>
      <c r="G308" s="4" t="s">
        <v>191</v>
      </c>
      <c r="H308" s="4" t="s">
        <v>192</v>
      </c>
      <c r="I308" s="4" t="n">
        <v>5</v>
      </c>
      <c r="J308" s="4" t="n">
        <v>5</v>
      </c>
      <c r="K308" s="4" t="n">
        <f aca="false">I308-J308</f>
        <v>0</v>
      </c>
    </row>
    <row r="309" customFormat="false" ht="15" hidden="false" customHeight="false" outlineLevel="0" collapsed="false">
      <c r="A309" s="4" t="s">
        <v>107</v>
      </c>
      <c r="B309" s="4" t="s">
        <v>108</v>
      </c>
      <c r="C309" s="4" t="s">
        <v>7</v>
      </c>
      <c r="D309" s="4" t="s">
        <v>109</v>
      </c>
      <c r="E309" s="4" t="s">
        <v>98</v>
      </c>
      <c r="F309" s="4" t="n">
        <v>2</v>
      </c>
      <c r="G309" s="4" t="s">
        <v>193</v>
      </c>
      <c r="H309" s="4" t="s">
        <v>192</v>
      </c>
      <c r="I309" s="4" t="n">
        <v>5</v>
      </c>
      <c r="J309" s="4" t="n">
        <v>5</v>
      </c>
      <c r="K309" s="4" t="n">
        <f aca="false">I309-J309</f>
        <v>0</v>
      </c>
    </row>
    <row r="310" customFormat="false" ht="15" hidden="false" customHeight="false" outlineLevel="0" collapsed="false">
      <c r="A310" s="4" t="s">
        <v>107</v>
      </c>
      <c r="B310" s="4" t="s">
        <v>108</v>
      </c>
      <c r="C310" s="4" t="s">
        <v>7</v>
      </c>
      <c r="D310" s="4" t="s">
        <v>109</v>
      </c>
      <c r="E310" s="4" t="s">
        <v>98</v>
      </c>
      <c r="F310" s="4" t="n">
        <v>3</v>
      </c>
      <c r="G310" s="4" t="s">
        <v>194</v>
      </c>
      <c r="H310" s="4" t="s">
        <v>192</v>
      </c>
      <c r="I310" s="4" t="n">
        <v>5</v>
      </c>
      <c r="J310" s="4" t="n">
        <v>5</v>
      </c>
      <c r="K310" s="4" t="n">
        <f aca="false">I310-J310</f>
        <v>0</v>
      </c>
    </row>
    <row r="311" customFormat="false" ht="15" hidden="false" customHeight="false" outlineLevel="0" collapsed="false">
      <c r="A311" s="4" t="s">
        <v>107</v>
      </c>
      <c r="B311" s="4" t="s">
        <v>108</v>
      </c>
      <c r="C311" s="4" t="s">
        <v>7</v>
      </c>
      <c r="D311" s="4" t="s">
        <v>109</v>
      </c>
      <c r="E311" s="4" t="s">
        <v>98</v>
      </c>
      <c r="F311" s="4" t="n">
        <v>11</v>
      </c>
      <c r="G311" s="4" t="s">
        <v>195</v>
      </c>
      <c r="H311" s="4" t="s">
        <v>196</v>
      </c>
      <c r="I311" s="4" t="n">
        <v>5</v>
      </c>
      <c r="J311" s="4" t="n">
        <v>5</v>
      </c>
      <c r="K311" s="4" t="n">
        <f aca="false">I311-J311</f>
        <v>0</v>
      </c>
    </row>
    <row r="312" customFormat="false" ht="15" hidden="false" customHeight="false" outlineLevel="0" collapsed="false">
      <c r="A312" s="4" t="s">
        <v>107</v>
      </c>
      <c r="B312" s="4" t="s">
        <v>108</v>
      </c>
      <c r="C312" s="4" t="s">
        <v>7</v>
      </c>
      <c r="D312" s="4" t="s">
        <v>109</v>
      </c>
      <c r="E312" s="4" t="s">
        <v>98</v>
      </c>
      <c r="F312" s="4" t="n">
        <v>12</v>
      </c>
      <c r="G312" s="4" t="s">
        <v>197</v>
      </c>
      <c r="H312" s="4" t="s">
        <v>196</v>
      </c>
      <c r="I312" s="4" t="n">
        <v>5</v>
      </c>
      <c r="J312" s="4" t="n">
        <v>5</v>
      </c>
      <c r="K312" s="4" t="n">
        <f aca="false">I312-J312</f>
        <v>0</v>
      </c>
    </row>
    <row r="313" customFormat="false" ht="15" hidden="false" customHeight="false" outlineLevel="0" collapsed="false">
      <c r="A313" s="4" t="s">
        <v>107</v>
      </c>
      <c r="B313" s="4" t="s">
        <v>108</v>
      </c>
      <c r="C313" s="4" t="s">
        <v>7</v>
      </c>
      <c r="D313" s="4" t="s">
        <v>109</v>
      </c>
      <c r="E313" s="4" t="s">
        <v>98</v>
      </c>
      <c r="F313" s="4" t="n">
        <v>13</v>
      </c>
      <c r="G313" s="4" t="s">
        <v>198</v>
      </c>
      <c r="H313" s="4" t="s">
        <v>196</v>
      </c>
      <c r="I313" s="4" t="n">
        <v>3</v>
      </c>
      <c r="J313" s="4" t="n">
        <v>4</v>
      </c>
      <c r="K313" s="4" t="n">
        <f aca="false">I313-J313</f>
        <v>-1</v>
      </c>
    </row>
    <row r="314" customFormat="false" ht="15" hidden="false" customHeight="false" outlineLevel="0" collapsed="false">
      <c r="A314" s="4" t="s">
        <v>107</v>
      </c>
      <c r="B314" s="4" t="s">
        <v>108</v>
      </c>
      <c r="C314" s="4" t="s">
        <v>7</v>
      </c>
      <c r="D314" s="4" t="s">
        <v>109</v>
      </c>
      <c r="E314" s="4" t="s">
        <v>98</v>
      </c>
      <c r="F314" s="4" t="n">
        <v>14</v>
      </c>
      <c r="G314" s="4" t="s">
        <v>199</v>
      </c>
      <c r="H314" s="4" t="s">
        <v>200</v>
      </c>
      <c r="I314" s="4" t="n">
        <v>5</v>
      </c>
      <c r="J314" s="4" t="n">
        <v>5</v>
      </c>
      <c r="K314" s="4" t="n">
        <f aca="false">I314-J314</f>
        <v>0</v>
      </c>
    </row>
    <row r="315" customFormat="false" ht="15" hidden="false" customHeight="false" outlineLevel="0" collapsed="false">
      <c r="A315" s="4" t="s">
        <v>110</v>
      </c>
      <c r="B315" s="4" t="s">
        <v>111</v>
      </c>
      <c r="C315" s="4" t="s">
        <v>5</v>
      </c>
      <c r="D315" s="4" t="s">
        <v>109</v>
      </c>
      <c r="E315" s="4" t="s">
        <v>98</v>
      </c>
      <c r="F315" s="4" t="n">
        <v>1</v>
      </c>
      <c r="G315" s="4" t="s">
        <v>191</v>
      </c>
      <c r="H315" s="4" t="s">
        <v>192</v>
      </c>
      <c r="I315" s="4" t="n">
        <v>4</v>
      </c>
      <c r="J315" s="4" t="n">
        <v>4</v>
      </c>
      <c r="K315" s="4" t="n">
        <f aca="false">I315-J315</f>
        <v>0</v>
      </c>
    </row>
    <row r="316" customFormat="false" ht="15" hidden="false" customHeight="false" outlineLevel="0" collapsed="false">
      <c r="A316" s="4" t="s">
        <v>110</v>
      </c>
      <c r="B316" s="4" t="s">
        <v>111</v>
      </c>
      <c r="C316" s="4" t="s">
        <v>5</v>
      </c>
      <c r="D316" s="4" t="s">
        <v>109</v>
      </c>
      <c r="E316" s="4" t="s">
        <v>98</v>
      </c>
      <c r="F316" s="4" t="n">
        <v>2</v>
      </c>
      <c r="G316" s="4" t="s">
        <v>193</v>
      </c>
      <c r="H316" s="4" t="s">
        <v>192</v>
      </c>
      <c r="I316" s="4" t="n">
        <v>4</v>
      </c>
      <c r="J316" s="4" t="n">
        <v>4</v>
      </c>
      <c r="K316" s="4" t="n">
        <f aca="false">I316-J316</f>
        <v>0</v>
      </c>
    </row>
    <row r="317" customFormat="false" ht="15" hidden="false" customHeight="false" outlineLevel="0" collapsed="false">
      <c r="A317" s="4" t="s">
        <v>110</v>
      </c>
      <c r="B317" s="4" t="s">
        <v>111</v>
      </c>
      <c r="C317" s="4" t="s">
        <v>5</v>
      </c>
      <c r="D317" s="4" t="s">
        <v>109</v>
      </c>
      <c r="E317" s="4" t="s">
        <v>98</v>
      </c>
      <c r="F317" s="4" t="n">
        <v>3</v>
      </c>
      <c r="G317" s="4" t="s">
        <v>194</v>
      </c>
      <c r="H317" s="4" t="s">
        <v>192</v>
      </c>
      <c r="I317" s="4" t="n">
        <v>4</v>
      </c>
      <c r="J317" s="4" t="n">
        <v>4</v>
      </c>
      <c r="K317" s="4" t="n">
        <f aca="false">I317-J317</f>
        <v>0</v>
      </c>
    </row>
    <row r="318" customFormat="false" ht="15" hidden="false" customHeight="false" outlineLevel="0" collapsed="false">
      <c r="A318" s="4" t="s">
        <v>110</v>
      </c>
      <c r="B318" s="4" t="s">
        <v>111</v>
      </c>
      <c r="C318" s="4" t="s">
        <v>5</v>
      </c>
      <c r="D318" s="4" t="s">
        <v>109</v>
      </c>
      <c r="E318" s="4" t="s">
        <v>98</v>
      </c>
      <c r="F318" s="4" t="n">
        <v>5</v>
      </c>
      <c r="G318" s="4" t="s">
        <v>201</v>
      </c>
      <c r="H318" s="4" t="s">
        <v>202</v>
      </c>
      <c r="I318" s="4" t="n">
        <v>4</v>
      </c>
      <c r="J318" s="4" t="n">
        <v>4</v>
      </c>
      <c r="K318" s="4" t="n">
        <f aca="false">I318-J318</f>
        <v>0</v>
      </c>
    </row>
    <row r="319" customFormat="false" ht="15" hidden="false" customHeight="false" outlineLevel="0" collapsed="false">
      <c r="A319" s="4" t="s">
        <v>110</v>
      </c>
      <c r="B319" s="4" t="s">
        <v>111</v>
      </c>
      <c r="C319" s="4" t="s">
        <v>5</v>
      </c>
      <c r="D319" s="4" t="s">
        <v>109</v>
      </c>
      <c r="E319" s="4" t="s">
        <v>98</v>
      </c>
      <c r="F319" s="4" t="n">
        <v>6</v>
      </c>
      <c r="G319" s="4" t="s">
        <v>203</v>
      </c>
      <c r="H319" s="4" t="s">
        <v>202</v>
      </c>
      <c r="I319" s="4" t="n">
        <v>3</v>
      </c>
      <c r="J319" s="4" t="n">
        <v>4</v>
      </c>
      <c r="K319" s="4" t="n">
        <f aca="false">I319-J319</f>
        <v>-1</v>
      </c>
    </row>
    <row r="320" customFormat="false" ht="15" hidden="false" customHeight="false" outlineLevel="0" collapsed="false">
      <c r="A320" s="4" t="s">
        <v>110</v>
      </c>
      <c r="B320" s="4" t="s">
        <v>111</v>
      </c>
      <c r="C320" s="4" t="s">
        <v>5</v>
      </c>
      <c r="D320" s="4" t="s">
        <v>109</v>
      </c>
      <c r="E320" s="4" t="s">
        <v>98</v>
      </c>
      <c r="F320" s="4" t="n">
        <v>7</v>
      </c>
      <c r="G320" s="4" t="s">
        <v>204</v>
      </c>
      <c r="H320" s="4" t="s">
        <v>205</v>
      </c>
      <c r="I320" s="4" t="n">
        <v>3</v>
      </c>
      <c r="J320" s="4" t="n">
        <v>3</v>
      </c>
      <c r="K320" s="4" t="n">
        <f aca="false">I320-J320</f>
        <v>0</v>
      </c>
    </row>
    <row r="321" customFormat="false" ht="15" hidden="false" customHeight="false" outlineLevel="0" collapsed="false">
      <c r="A321" s="4" t="s">
        <v>110</v>
      </c>
      <c r="B321" s="4" t="s">
        <v>111</v>
      </c>
      <c r="C321" s="4" t="s">
        <v>5</v>
      </c>
      <c r="D321" s="4" t="s">
        <v>109</v>
      </c>
      <c r="E321" s="4" t="s">
        <v>98</v>
      </c>
      <c r="F321" s="4" t="n">
        <v>8</v>
      </c>
      <c r="G321" s="4" t="s">
        <v>206</v>
      </c>
      <c r="H321" s="4" t="s">
        <v>205</v>
      </c>
      <c r="I321" s="4" t="n">
        <v>3</v>
      </c>
      <c r="J321" s="4" t="n">
        <v>3</v>
      </c>
      <c r="K321" s="4" t="n">
        <f aca="false">I321-J321</f>
        <v>0</v>
      </c>
    </row>
    <row r="322" customFormat="false" ht="15" hidden="false" customHeight="false" outlineLevel="0" collapsed="false">
      <c r="A322" s="4" t="s">
        <v>110</v>
      </c>
      <c r="B322" s="4" t="s">
        <v>111</v>
      </c>
      <c r="C322" s="4" t="s">
        <v>5</v>
      </c>
      <c r="D322" s="4" t="s">
        <v>109</v>
      </c>
      <c r="E322" s="4" t="s">
        <v>98</v>
      </c>
      <c r="F322" s="4" t="n">
        <v>9</v>
      </c>
      <c r="G322" s="4" t="s">
        <v>207</v>
      </c>
      <c r="H322" s="4" t="s">
        <v>208</v>
      </c>
      <c r="I322" s="4" t="n">
        <v>3</v>
      </c>
      <c r="J322" s="4" t="n">
        <v>3</v>
      </c>
      <c r="K322" s="4" t="n">
        <f aca="false">I322-J322</f>
        <v>0</v>
      </c>
    </row>
    <row r="323" customFormat="false" ht="15" hidden="false" customHeight="false" outlineLevel="0" collapsed="false">
      <c r="A323" s="4" t="s">
        <v>110</v>
      </c>
      <c r="B323" s="4" t="s">
        <v>111</v>
      </c>
      <c r="C323" s="4" t="s">
        <v>5</v>
      </c>
      <c r="D323" s="4" t="s">
        <v>109</v>
      </c>
      <c r="E323" s="4" t="s">
        <v>98</v>
      </c>
      <c r="F323" s="4" t="n">
        <v>10</v>
      </c>
      <c r="G323" s="4" t="s">
        <v>209</v>
      </c>
      <c r="H323" s="4" t="s">
        <v>208</v>
      </c>
      <c r="I323" s="4" t="n">
        <v>5</v>
      </c>
      <c r="J323" s="4" t="n">
        <v>4</v>
      </c>
      <c r="K323" s="4" t="n">
        <f aca="false">I323-J323</f>
        <v>1</v>
      </c>
    </row>
    <row r="324" customFormat="false" ht="15" hidden="false" customHeight="false" outlineLevel="0" collapsed="false">
      <c r="A324" s="4" t="s">
        <v>110</v>
      </c>
      <c r="B324" s="4" t="s">
        <v>111</v>
      </c>
      <c r="C324" s="4" t="s">
        <v>5</v>
      </c>
      <c r="D324" s="4" t="s">
        <v>109</v>
      </c>
      <c r="E324" s="4" t="s">
        <v>98</v>
      </c>
      <c r="F324" s="4" t="n">
        <v>14</v>
      </c>
      <c r="G324" s="4" t="s">
        <v>199</v>
      </c>
      <c r="H324" s="4" t="s">
        <v>200</v>
      </c>
      <c r="I324" s="4" t="n">
        <v>4</v>
      </c>
      <c r="J324" s="4" t="n">
        <v>4</v>
      </c>
      <c r="K324" s="4" t="n">
        <f aca="false">I324-J324</f>
        <v>0</v>
      </c>
    </row>
    <row r="325" customFormat="false" ht="15" hidden="false" customHeight="false" outlineLevel="0" collapsed="false">
      <c r="A325" s="4" t="s">
        <v>112</v>
      </c>
      <c r="B325" s="4" t="s">
        <v>113</v>
      </c>
      <c r="C325" s="4" t="s">
        <v>5</v>
      </c>
      <c r="D325" s="4" t="s">
        <v>109</v>
      </c>
      <c r="E325" s="4" t="s">
        <v>98</v>
      </c>
      <c r="F325" s="4" t="n">
        <v>1</v>
      </c>
      <c r="G325" s="4" t="s">
        <v>191</v>
      </c>
      <c r="H325" s="4" t="s">
        <v>192</v>
      </c>
      <c r="I325" s="4" t="n">
        <v>5</v>
      </c>
      <c r="J325" s="4" t="n">
        <v>5</v>
      </c>
      <c r="K325" s="4" t="n">
        <f aca="false">I325-J325</f>
        <v>0</v>
      </c>
    </row>
    <row r="326" customFormat="false" ht="15" hidden="false" customHeight="false" outlineLevel="0" collapsed="false">
      <c r="A326" s="4" t="s">
        <v>112</v>
      </c>
      <c r="B326" s="4" t="s">
        <v>113</v>
      </c>
      <c r="C326" s="4" t="s">
        <v>5</v>
      </c>
      <c r="D326" s="4" t="s">
        <v>109</v>
      </c>
      <c r="E326" s="4" t="s">
        <v>98</v>
      </c>
      <c r="F326" s="4" t="n">
        <v>2</v>
      </c>
      <c r="G326" s="4" t="s">
        <v>193</v>
      </c>
      <c r="H326" s="4" t="s">
        <v>192</v>
      </c>
      <c r="I326" s="4" t="n">
        <v>4</v>
      </c>
      <c r="J326" s="4" t="n">
        <v>5</v>
      </c>
      <c r="K326" s="4" t="n">
        <f aca="false">I326-J326</f>
        <v>-1</v>
      </c>
    </row>
    <row r="327" customFormat="false" ht="15" hidden="false" customHeight="false" outlineLevel="0" collapsed="false">
      <c r="A327" s="4" t="s">
        <v>112</v>
      </c>
      <c r="B327" s="4" t="s">
        <v>113</v>
      </c>
      <c r="C327" s="4" t="s">
        <v>5</v>
      </c>
      <c r="D327" s="4" t="s">
        <v>109</v>
      </c>
      <c r="E327" s="4" t="s">
        <v>98</v>
      </c>
      <c r="F327" s="4" t="n">
        <v>3</v>
      </c>
      <c r="G327" s="4" t="s">
        <v>194</v>
      </c>
      <c r="H327" s="4" t="s">
        <v>192</v>
      </c>
      <c r="I327" s="4" t="n">
        <v>4</v>
      </c>
      <c r="J327" s="4" t="n">
        <v>4</v>
      </c>
      <c r="K327" s="4" t="n">
        <f aca="false">I327-J327</f>
        <v>0</v>
      </c>
    </row>
    <row r="328" customFormat="false" ht="15" hidden="false" customHeight="false" outlineLevel="0" collapsed="false">
      <c r="A328" s="4" t="s">
        <v>112</v>
      </c>
      <c r="B328" s="4" t="s">
        <v>113</v>
      </c>
      <c r="C328" s="4" t="s">
        <v>5</v>
      </c>
      <c r="D328" s="4" t="s">
        <v>109</v>
      </c>
      <c r="E328" s="4" t="s">
        <v>98</v>
      </c>
      <c r="F328" s="4" t="n">
        <v>5</v>
      </c>
      <c r="G328" s="4" t="s">
        <v>201</v>
      </c>
      <c r="H328" s="4" t="s">
        <v>202</v>
      </c>
      <c r="I328" s="4" t="n">
        <v>5</v>
      </c>
      <c r="J328" s="4" t="n">
        <v>5</v>
      </c>
      <c r="K328" s="4" t="n">
        <f aca="false">I328-J328</f>
        <v>0</v>
      </c>
    </row>
    <row r="329" customFormat="false" ht="15" hidden="false" customHeight="false" outlineLevel="0" collapsed="false">
      <c r="A329" s="4" t="s">
        <v>112</v>
      </c>
      <c r="B329" s="4" t="s">
        <v>113</v>
      </c>
      <c r="C329" s="4" t="s">
        <v>5</v>
      </c>
      <c r="D329" s="4" t="s">
        <v>109</v>
      </c>
      <c r="E329" s="4" t="s">
        <v>98</v>
      </c>
      <c r="F329" s="4" t="n">
        <v>6</v>
      </c>
      <c r="G329" s="4" t="s">
        <v>203</v>
      </c>
      <c r="H329" s="4" t="s">
        <v>202</v>
      </c>
      <c r="I329" s="4" t="n">
        <v>4</v>
      </c>
      <c r="J329" s="4" t="n">
        <v>4</v>
      </c>
      <c r="K329" s="4" t="n">
        <f aca="false">I329-J329</f>
        <v>0</v>
      </c>
    </row>
    <row r="330" customFormat="false" ht="15" hidden="false" customHeight="false" outlineLevel="0" collapsed="false">
      <c r="A330" s="4" t="s">
        <v>112</v>
      </c>
      <c r="B330" s="4" t="s">
        <v>113</v>
      </c>
      <c r="C330" s="4" t="s">
        <v>5</v>
      </c>
      <c r="D330" s="4" t="s">
        <v>109</v>
      </c>
      <c r="E330" s="4" t="s">
        <v>98</v>
      </c>
      <c r="F330" s="4" t="n">
        <v>7</v>
      </c>
      <c r="G330" s="4" t="s">
        <v>204</v>
      </c>
      <c r="H330" s="4" t="s">
        <v>205</v>
      </c>
      <c r="I330" s="4" t="n">
        <v>5</v>
      </c>
      <c r="J330" s="4" t="n">
        <v>5</v>
      </c>
      <c r="K330" s="4" t="n">
        <f aca="false">I330-J330</f>
        <v>0</v>
      </c>
    </row>
    <row r="331" customFormat="false" ht="15" hidden="false" customHeight="false" outlineLevel="0" collapsed="false">
      <c r="A331" s="4" t="s">
        <v>112</v>
      </c>
      <c r="B331" s="4" t="s">
        <v>113</v>
      </c>
      <c r="C331" s="4" t="s">
        <v>5</v>
      </c>
      <c r="D331" s="4" t="s">
        <v>109</v>
      </c>
      <c r="E331" s="4" t="s">
        <v>98</v>
      </c>
      <c r="F331" s="4" t="n">
        <v>8</v>
      </c>
      <c r="G331" s="4" t="s">
        <v>206</v>
      </c>
      <c r="H331" s="4" t="s">
        <v>205</v>
      </c>
      <c r="I331" s="4" t="n">
        <v>4</v>
      </c>
      <c r="J331" s="4" t="n">
        <v>5</v>
      </c>
      <c r="K331" s="4" t="n">
        <f aca="false">I331-J331</f>
        <v>-1</v>
      </c>
    </row>
    <row r="332" customFormat="false" ht="15" hidden="false" customHeight="false" outlineLevel="0" collapsed="false">
      <c r="A332" s="4" t="s">
        <v>112</v>
      </c>
      <c r="B332" s="4" t="s">
        <v>113</v>
      </c>
      <c r="C332" s="4" t="s">
        <v>5</v>
      </c>
      <c r="D332" s="4" t="s">
        <v>109</v>
      </c>
      <c r="E332" s="4" t="s">
        <v>98</v>
      </c>
      <c r="F332" s="4" t="n">
        <v>9</v>
      </c>
      <c r="G332" s="4" t="s">
        <v>207</v>
      </c>
      <c r="H332" s="4" t="s">
        <v>208</v>
      </c>
      <c r="I332" s="4" t="n">
        <v>5</v>
      </c>
      <c r="J332" s="4" t="n">
        <v>5</v>
      </c>
      <c r="K332" s="4" t="n">
        <f aca="false">I332-J332</f>
        <v>0</v>
      </c>
    </row>
    <row r="333" customFormat="false" ht="15" hidden="false" customHeight="false" outlineLevel="0" collapsed="false">
      <c r="A333" s="4" t="s">
        <v>112</v>
      </c>
      <c r="B333" s="4" t="s">
        <v>113</v>
      </c>
      <c r="C333" s="4" t="s">
        <v>5</v>
      </c>
      <c r="D333" s="4" t="s">
        <v>109</v>
      </c>
      <c r="E333" s="4" t="s">
        <v>98</v>
      </c>
      <c r="F333" s="4" t="n">
        <v>10</v>
      </c>
      <c r="G333" s="4" t="s">
        <v>209</v>
      </c>
      <c r="H333" s="4" t="s">
        <v>208</v>
      </c>
      <c r="I333" s="4" t="n">
        <v>5</v>
      </c>
      <c r="J333" s="4" t="n">
        <v>5</v>
      </c>
      <c r="K333" s="4" t="n">
        <f aca="false">I333-J333</f>
        <v>0</v>
      </c>
    </row>
    <row r="334" customFormat="false" ht="15" hidden="false" customHeight="false" outlineLevel="0" collapsed="false">
      <c r="A334" s="4" t="s">
        <v>112</v>
      </c>
      <c r="B334" s="4" t="s">
        <v>113</v>
      </c>
      <c r="C334" s="4" t="s">
        <v>5</v>
      </c>
      <c r="D334" s="4" t="s">
        <v>109</v>
      </c>
      <c r="E334" s="4" t="s">
        <v>98</v>
      </c>
      <c r="F334" s="4" t="n">
        <v>14</v>
      </c>
      <c r="G334" s="4" t="s">
        <v>199</v>
      </c>
      <c r="H334" s="4" t="s">
        <v>200</v>
      </c>
      <c r="I334" s="4" t="n">
        <v>5</v>
      </c>
      <c r="J334" s="4" t="n">
        <v>5</v>
      </c>
      <c r="K334" s="4" t="n">
        <f aca="false">I334-J334</f>
        <v>0</v>
      </c>
    </row>
    <row r="335" customFormat="false" ht="15" hidden="false" customHeight="false" outlineLevel="0" collapsed="false">
      <c r="A335" s="4" t="s">
        <v>114</v>
      </c>
      <c r="B335" s="4" t="s">
        <v>115</v>
      </c>
      <c r="C335" s="4" t="s">
        <v>5</v>
      </c>
      <c r="D335" s="4" t="s">
        <v>109</v>
      </c>
      <c r="E335" s="4" t="s">
        <v>98</v>
      </c>
      <c r="F335" s="4" t="n">
        <v>1</v>
      </c>
      <c r="G335" s="4" t="s">
        <v>191</v>
      </c>
      <c r="H335" s="4" t="s">
        <v>192</v>
      </c>
      <c r="I335" s="4" t="n">
        <v>4</v>
      </c>
      <c r="J335" s="4" t="n">
        <v>4</v>
      </c>
      <c r="K335" s="4" t="n">
        <f aca="false">I335-J335</f>
        <v>0</v>
      </c>
    </row>
    <row r="336" customFormat="false" ht="15" hidden="false" customHeight="false" outlineLevel="0" collapsed="false">
      <c r="A336" s="4" t="s">
        <v>114</v>
      </c>
      <c r="B336" s="4" t="s">
        <v>115</v>
      </c>
      <c r="C336" s="4" t="s">
        <v>5</v>
      </c>
      <c r="D336" s="4" t="s">
        <v>109</v>
      </c>
      <c r="E336" s="4" t="s">
        <v>98</v>
      </c>
      <c r="F336" s="4" t="n">
        <v>2</v>
      </c>
      <c r="G336" s="4" t="s">
        <v>193</v>
      </c>
      <c r="H336" s="4" t="s">
        <v>192</v>
      </c>
      <c r="I336" s="4" t="n">
        <v>4</v>
      </c>
      <c r="J336" s="4" t="n">
        <v>3</v>
      </c>
      <c r="K336" s="4" t="n">
        <f aca="false">I336-J336</f>
        <v>1</v>
      </c>
    </row>
    <row r="337" customFormat="false" ht="15" hidden="false" customHeight="false" outlineLevel="0" collapsed="false">
      <c r="A337" s="4" t="s">
        <v>114</v>
      </c>
      <c r="B337" s="4" t="s">
        <v>115</v>
      </c>
      <c r="C337" s="4" t="s">
        <v>5</v>
      </c>
      <c r="D337" s="4" t="s">
        <v>109</v>
      </c>
      <c r="E337" s="4" t="s">
        <v>98</v>
      </c>
      <c r="F337" s="4" t="n">
        <v>3</v>
      </c>
      <c r="G337" s="4" t="s">
        <v>194</v>
      </c>
      <c r="H337" s="4" t="s">
        <v>192</v>
      </c>
      <c r="I337" s="4" t="n">
        <v>3</v>
      </c>
      <c r="J337" s="4" t="n">
        <v>3</v>
      </c>
      <c r="K337" s="4" t="n">
        <f aca="false">I337-J337</f>
        <v>0</v>
      </c>
    </row>
    <row r="338" customFormat="false" ht="15" hidden="false" customHeight="false" outlineLevel="0" collapsed="false">
      <c r="A338" s="4" t="s">
        <v>114</v>
      </c>
      <c r="B338" s="4" t="s">
        <v>115</v>
      </c>
      <c r="C338" s="4" t="s">
        <v>5</v>
      </c>
      <c r="D338" s="4" t="s">
        <v>109</v>
      </c>
      <c r="E338" s="4" t="s">
        <v>98</v>
      </c>
      <c r="F338" s="4" t="n">
        <v>5</v>
      </c>
      <c r="G338" s="4" t="s">
        <v>201</v>
      </c>
      <c r="H338" s="4" t="s">
        <v>202</v>
      </c>
      <c r="I338" s="4" t="n">
        <v>3</v>
      </c>
      <c r="J338" s="4" t="n">
        <v>3</v>
      </c>
      <c r="K338" s="4" t="n">
        <f aca="false">I338-J338</f>
        <v>0</v>
      </c>
    </row>
    <row r="339" customFormat="false" ht="15" hidden="false" customHeight="false" outlineLevel="0" collapsed="false">
      <c r="A339" s="4" t="s">
        <v>114</v>
      </c>
      <c r="B339" s="4" t="s">
        <v>115</v>
      </c>
      <c r="C339" s="4" t="s">
        <v>5</v>
      </c>
      <c r="D339" s="4" t="s">
        <v>109</v>
      </c>
      <c r="E339" s="4" t="s">
        <v>98</v>
      </c>
      <c r="F339" s="4" t="n">
        <v>6</v>
      </c>
      <c r="G339" s="4" t="s">
        <v>203</v>
      </c>
      <c r="H339" s="4" t="s">
        <v>202</v>
      </c>
      <c r="I339" s="4" t="n">
        <v>3</v>
      </c>
      <c r="J339" s="4" t="n">
        <v>2</v>
      </c>
      <c r="K339" s="4" t="n">
        <f aca="false">I339-J339</f>
        <v>1</v>
      </c>
    </row>
    <row r="340" customFormat="false" ht="15" hidden="false" customHeight="false" outlineLevel="0" collapsed="false">
      <c r="A340" s="4" t="s">
        <v>114</v>
      </c>
      <c r="B340" s="4" t="s">
        <v>115</v>
      </c>
      <c r="C340" s="4" t="s">
        <v>5</v>
      </c>
      <c r="D340" s="4" t="s">
        <v>109</v>
      </c>
      <c r="E340" s="4" t="s">
        <v>98</v>
      </c>
      <c r="F340" s="4" t="n">
        <v>7</v>
      </c>
      <c r="G340" s="4" t="s">
        <v>204</v>
      </c>
      <c r="H340" s="4" t="s">
        <v>205</v>
      </c>
      <c r="I340" s="4" t="n">
        <v>3</v>
      </c>
      <c r="J340" s="4" t="n">
        <v>4</v>
      </c>
      <c r="K340" s="4" t="n">
        <f aca="false">I340-J340</f>
        <v>-1</v>
      </c>
    </row>
    <row r="341" customFormat="false" ht="15" hidden="false" customHeight="false" outlineLevel="0" collapsed="false">
      <c r="A341" s="4" t="s">
        <v>114</v>
      </c>
      <c r="B341" s="4" t="s">
        <v>115</v>
      </c>
      <c r="C341" s="4" t="s">
        <v>5</v>
      </c>
      <c r="D341" s="4" t="s">
        <v>109</v>
      </c>
      <c r="E341" s="4" t="s">
        <v>98</v>
      </c>
      <c r="F341" s="4" t="n">
        <v>8</v>
      </c>
      <c r="G341" s="4" t="s">
        <v>206</v>
      </c>
      <c r="H341" s="4" t="s">
        <v>205</v>
      </c>
      <c r="I341" s="4" t="n">
        <v>4</v>
      </c>
      <c r="J341" s="4" t="n">
        <v>3</v>
      </c>
      <c r="K341" s="4" t="n">
        <f aca="false">I341-J341</f>
        <v>1</v>
      </c>
    </row>
    <row r="342" customFormat="false" ht="15" hidden="false" customHeight="false" outlineLevel="0" collapsed="false">
      <c r="A342" s="4" t="s">
        <v>114</v>
      </c>
      <c r="B342" s="4" t="s">
        <v>115</v>
      </c>
      <c r="C342" s="4" t="s">
        <v>5</v>
      </c>
      <c r="D342" s="4" t="s">
        <v>109</v>
      </c>
      <c r="E342" s="4" t="s">
        <v>98</v>
      </c>
      <c r="F342" s="4" t="n">
        <v>9</v>
      </c>
      <c r="G342" s="4" t="s">
        <v>207</v>
      </c>
      <c r="H342" s="4" t="s">
        <v>208</v>
      </c>
      <c r="I342" s="4" t="n">
        <v>4</v>
      </c>
      <c r="J342" s="4" t="n">
        <v>3</v>
      </c>
      <c r="K342" s="4" t="n">
        <f aca="false">I342-J342</f>
        <v>1</v>
      </c>
    </row>
    <row r="343" customFormat="false" ht="15" hidden="false" customHeight="false" outlineLevel="0" collapsed="false">
      <c r="A343" s="4" t="s">
        <v>114</v>
      </c>
      <c r="B343" s="4" t="s">
        <v>115</v>
      </c>
      <c r="C343" s="4" t="s">
        <v>5</v>
      </c>
      <c r="D343" s="4" t="s">
        <v>109</v>
      </c>
      <c r="E343" s="4" t="s">
        <v>98</v>
      </c>
      <c r="F343" s="4" t="n">
        <v>10</v>
      </c>
      <c r="G343" s="4" t="s">
        <v>209</v>
      </c>
      <c r="H343" s="4" t="s">
        <v>208</v>
      </c>
      <c r="I343" s="4" t="n">
        <v>4</v>
      </c>
      <c r="J343" s="4" t="n">
        <v>3</v>
      </c>
      <c r="K343" s="4" t="n">
        <f aca="false">I343-J343</f>
        <v>1</v>
      </c>
    </row>
    <row r="344" customFormat="false" ht="15" hidden="false" customHeight="false" outlineLevel="0" collapsed="false">
      <c r="A344" s="4" t="s">
        <v>114</v>
      </c>
      <c r="B344" s="4" t="s">
        <v>115</v>
      </c>
      <c r="C344" s="4" t="s">
        <v>5</v>
      </c>
      <c r="D344" s="4" t="s">
        <v>109</v>
      </c>
      <c r="E344" s="4" t="s">
        <v>98</v>
      </c>
      <c r="F344" s="4" t="n">
        <v>14</v>
      </c>
      <c r="G344" s="4" t="s">
        <v>199</v>
      </c>
      <c r="H344" s="4" t="s">
        <v>200</v>
      </c>
      <c r="I344" s="4" t="n">
        <v>2</v>
      </c>
      <c r="J344" s="4" t="n">
        <v>3</v>
      </c>
      <c r="K344" s="4" t="n">
        <f aca="false">I344-J344</f>
        <v>-1</v>
      </c>
    </row>
    <row r="345" customFormat="false" ht="15" hidden="false" customHeight="false" outlineLevel="0" collapsed="false">
      <c r="A345" s="4" t="s">
        <v>116</v>
      </c>
      <c r="B345" s="4" t="s">
        <v>117</v>
      </c>
      <c r="C345" s="4" t="s">
        <v>7</v>
      </c>
      <c r="D345" s="4" t="s">
        <v>118</v>
      </c>
      <c r="E345" s="4" t="s">
        <v>119</v>
      </c>
      <c r="F345" s="4" t="n">
        <v>1</v>
      </c>
      <c r="G345" s="4" t="s">
        <v>191</v>
      </c>
      <c r="H345" s="4" t="s">
        <v>192</v>
      </c>
      <c r="I345" s="4" t="n">
        <v>4</v>
      </c>
      <c r="J345" s="4" t="n">
        <v>4</v>
      </c>
      <c r="K345" s="4" t="n">
        <f aca="false">I345-J345</f>
        <v>0</v>
      </c>
    </row>
    <row r="346" customFormat="false" ht="15" hidden="false" customHeight="false" outlineLevel="0" collapsed="false">
      <c r="A346" s="4" t="s">
        <v>116</v>
      </c>
      <c r="B346" s="4" t="s">
        <v>117</v>
      </c>
      <c r="C346" s="4" t="s">
        <v>7</v>
      </c>
      <c r="D346" s="4" t="s">
        <v>118</v>
      </c>
      <c r="E346" s="4" t="s">
        <v>119</v>
      </c>
      <c r="F346" s="4" t="n">
        <v>2</v>
      </c>
      <c r="G346" s="4" t="s">
        <v>193</v>
      </c>
      <c r="H346" s="4" t="s">
        <v>192</v>
      </c>
      <c r="I346" s="4" t="n">
        <v>5</v>
      </c>
      <c r="J346" s="4" t="n">
        <v>4</v>
      </c>
      <c r="K346" s="4" t="n">
        <f aca="false">I346-J346</f>
        <v>1</v>
      </c>
    </row>
    <row r="347" customFormat="false" ht="15" hidden="false" customHeight="false" outlineLevel="0" collapsed="false">
      <c r="A347" s="4" t="s">
        <v>116</v>
      </c>
      <c r="B347" s="4" t="s">
        <v>117</v>
      </c>
      <c r="C347" s="4" t="s">
        <v>7</v>
      </c>
      <c r="D347" s="4" t="s">
        <v>118</v>
      </c>
      <c r="E347" s="4" t="s">
        <v>119</v>
      </c>
      <c r="F347" s="4" t="n">
        <v>3</v>
      </c>
      <c r="G347" s="4" t="s">
        <v>194</v>
      </c>
      <c r="H347" s="4" t="s">
        <v>192</v>
      </c>
      <c r="I347" s="4" t="n">
        <v>4</v>
      </c>
      <c r="J347" s="4" t="n">
        <v>4</v>
      </c>
      <c r="K347" s="4" t="n">
        <f aca="false">I347-J347</f>
        <v>0</v>
      </c>
    </row>
    <row r="348" customFormat="false" ht="15" hidden="false" customHeight="false" outlineLevel="0" collapsed="false">
      <c r="A348" s="4" t="s">
        <v>116</v>
      </c>
      <c r="B348" s="4" t="s">
        <v>117</v>
      </c>
      <c r="C348" s="4" t="s">
        <v>7</v>
      </c>
      <c r="D348" s="4" t="s">
        <v>118</v>
      </c>
      <c r="E348" s="4" t="s">
        <v>119</v>
      </c>
      <c r="F348" s="4" t="n">
        <v>11</v>
      </c>
      <c r="G348" s="4" t="s">
        <v>195</v>
      </c>
      <c r="H348" s="4" t="s">
        <v>196</v>
      </c>
      <c r="I348" s="4" t="n">
        <v>5</v>
      </c>
      <c r="J348" s="4" t="n">
        <v>5</v>
      </c>
      <c r="K348" s="4" t="n">
        <f aca="false">I348-J348</f>
        <v>0</v>
      </c>
    </row>
    <row r="349" customFormat="false" ht="15" hidden="false" customHeight="false" outlineLevel="0" collapsed="false">
      <c r="A349" s="4" t="s">
        <v>116</v>
      </c>
      <c r="B349" s="4" t="s">
        <v>117</v>
      </c>
      <c r="C349" s="4" t="s">
        <v>7</v>
      </c>
      <c r="D349" s="4" t="s">
        <v>118</v>
      </c>
      <c r="E349" s="4" t="s">
        <v>119</v>
      </c>
      <c r="F349" s="4" t="n">
        <v>12</v>
      </c>
      <c r="G349" s="4" t="s">
        <v>197</v>
      </c>
      <c r="H349" s="4" t="s">
        <v>196</v>
      </c>
      <c r="I349" s="4" t="n">
        <v>5</v>
      </c>
      <c r="J349" s="4" t="n">
        <v>4</v>
      </c>
      <c r="K349" s="4" t="n">
        <f aca="false">I349-J349</f>
        <v>1</v>
      </c>
    </row>
    <row r="350" customFormat="false" ht="15" hidden="false" customHeight="false" outlineLevel="0" collapsed="false">
      <c r="A350" s="4" t="s">
        <v>116</v>
      </c>
      <c r="B350" s="4" t="s">
        <v>117</v>
      </c>
      <c r="C350" s="4" t="s">
        <v>7</v>
      </c>
      <c r="D350" s="4" t="s">
        <v>118</v>
      </c>
      <c r="E350" s="4" t="s">
        <v>119</v>
      </c>
      <c r="F350" s="4" t="n">
        <v>13</v>
      </c>
      <c r="G350" s="4" t="s">
        <v>198</v>
      </c>
      <c r="H350" s="4" t="s">
        <v>196</v>
      </c>
      <c r="I350" s="4" t="n">
        <v>3</v>
      </c>
      <c r="J350" s="4" t="n">
        <v>4</v>
      </c>
      <c r="K350" s="4" t="n">
        <f aca="false">I350-J350</f>
        <v>-1</v>
      </c>
    </row>
    <row r="351" customFormat="false" ht="15" hidden="false" customHeight="false" outlineLevel="0" collapsed="false">
      <c r="A351" s="4" t="s">
        <v>116</v>
      </c>
      <c r="B351" s="4" t="s">
        <v>117</v>
      </c>
      <c r="C351" s="4" t="s">
        <v>7</v>
      </c>
      <c r="D351" s="4" t="s">
        <v>118</v>
      </c>
      <c r="E351" s="4" t="s">
        <v>119</v>
      </c>
      <c r="F351" s="4" t="n">
        <v>14</v>
      </c>
      <c r="G351" s="4" t="s">
        <v>199</v>
      </c>
      <c r="H351" s="4" t="s">
        <v>200</v>
      </c>
      <c r="I351" s="4" t="n">
        <v>5</v>
      </c>
      <c r="J351" s="4" t="n">
        <v>4</v>
      </c>
      <c r="K351" s="4" t="n">
        <f aca="false">I351-J351</f>
        <v>1</v>
      </c>
    </row>
    <row r="352" customFormat="false" ht="15" hidden="false" customHeight="false" outlineLevel="0" collapsed="false">
      <c r="A352" s="4" t="s">
        <v>120</v>
      </c>
      <c r="B352" s="4" t="s">
        <v>121</v>
      </c>
      <c r="C352" s="4" t="s">
        <v>5</v>
      </c>
      <c r="D352" s="4" t="s">
        <v>118</v>
      </c>
      <c r="E352" s="4" t="s">
        <v>119</v>
      </c>
      <c r="F352" s="4" t="n">
        <v>1</v>
      </c>
      <c r="G352" s="4" t="s">
        <v>191</v>
      </c>
      <c r="H352" s="4" t="s">
        <v>192</v>
      </c>
      <c r="I352" s="4" t="n">
        <v>3</v>
      </c>
      <c r="J352" s="4" t="n">
        <v>4</v>
      </c>
      <c r="K352" s="4" t="n">
        <f aca="false">I352-J352</f>
        <v>-1</v>
      </c>
    </row>
    <row r="353" customFormat="false" ht="15" hidden="false" customHeight="false" outlineLevel="0" collapsed="false">
      <c r="A353" s="4" t="s">
        <v>120</v>
      </c>
      <c r="B353" s="4" t="s">
        <v>121</v>
      </c>
      <c r="C353" s="4" t="s">
        <v>5</v>
      </c>
      <c r="D353" s="4" t="s">
        <v>118</v>
      </c>
      <c r="E353" s="4" t="s">
        <v>119</v>
      </c>
      <c r="F353" s="4" t="n">
        <v>2</v>
      </c>
      <c r="G353" s="4" t="s">
        <v>193</v>
      </c>
      <c r="H353" s="4" t="s">
        <v>192</v>
      </c>
      <c r="I353" s="4" t="n">
        <v>4</v>
      </c>
      <c r="J353" s="4" t="n">
        <v>4</v>
      </c>
      <c r="K353" s="4" t="n">
        <f aca="false">I353-J353</f>
        <v>0</v>
      </c>
    </row>
    <row r="354" customFormat="false" ht="15" hidden="false" customHeight="false" outlineLevel="0" collapsed="false">
      <c r="A354" s="4" t="s">
        <v>120</v>
      </c>
      <c r="B354" s="4" t="s">
        <v>121</v>
      </c>
      <c r="C354" s="4" t="s">
        <v>5</v>
      </c>
      <c r="D354" s="4" t="s">
        <v>118</v>
      </c>
      <c r="E354" s="4" t="s">
        <v>119</v>
      </c>
      <c r="F354" s="4" t="n">
        <v>3</v>
      </c>
      <c r="G354" s="4" t="s">
        <v>194</v>
      </c>
      <c r="H354" s="4" t="s">
        <v>192</v>
      </c>
      <c r="I354" s="4" t="n">
        <v>5</v>
      </c>
      <c r="J354" s="4" t="n">
        <v>4</v>
      </c>
      <c r="K354" s="4" t="n">
        <f aca="false">I354-J354</f>
        <v>1</v>
      </c>
    </row>
    <row r="355" customFormat="false" ht="15" hidden="false" customHeight="false" outlineLevel="0" collapsed="false">
      <c r="A355" s="4" t="s">
        <v>120</v>
      </c>
      <c r="B355" s="4" t="s">
        <v>121</v>
      </c>
      <c r="C355" s="4" t="s">
        <v>5</v>
      </c>
      <c r="D355" s="4" t="s">
        <v>118</v>
      </c>
      <c r="E355" s="4" t="s">
        <v>119</v>
      </c>
      <c r="F355" s="4" t="n">
        <v>5</v>
      </c>
      <c r="G355" s="4" t="s">
        <v>201</v>
      </c>
      <c r="H355" s="4" t="s">
        <v>202</v>
      </c>
      <c r="I355" s="4" t="n">
        <v>3</v>
      </c>
      <c r="J355" s="4" t="n">
        <v>4</v>
      </c>
      <c r="K355" s="4" t="n">
        <f aca="false">I355-J355</f>
        <v>-1</v>
      </c>
    </row>
    <row r="356" customFormat="false" ht="15" hidden="false" customHeight="false" outlineLevel="0" collapsed="false">
      <c r="A356" s="4" t="s">
        <v>120</v>
      </c>
      <c r="B356" s="4" t="s">
        <v>121</v>
      </c>
      <c r="C356" s="4" t="s">
        <v>5</v>
      </c>
      <c r="D356" s="4" t="s">
        <v>118</v>
      </c>
      <c r="E356" s="4" t="s">
        <v>119</v>
      </c>
      <c r="F356" s="4" t="n">
        <v>6</v>
      </c>
      <c r="G356" s="4" t="s">
        <v>203</v>
      </c>
      <c r="H356" s="4" t="s">
        <v>202</v>
      </c>
      <c r="I356" s="4" t="n">
        <v>3</v>
      </c>
      <c r="J356" s="4" t="n">
        <v>3</v>
      </c>
      <c r="K356" s="4" t="n">
        <f aca="false">I356-J356</f>
        <v>0</v>
      </c>
    </row>
    <row r="357" customFormat="false" ht="15" hidden="false" customHeight="false" outlineLevel="0" collapsed="false">
      <c r="A357" s="4" t="s">
        <v>120</v>
      </c>
      <c r="B357" s="4" t="s">
        <v>121</v>
      </c>
      <c r="C357" s="4" t="s">
        <v>5</v>
      </c>
      <c r="D357" s="4" t="s">
        <v>118</v>
      </c>
      <c r="E357" s="4" t="s">
        <v>119</v>
      </c>
      <c r="F357" s="4" t="n">
        <v>7</v>
      </c>
      <c r="G357" s="4" t="s">
        <v>204</v>
      </c>
      <c r="H357" s="4" t="s">
        <v>205</v>
      </c>
      <c r="I357" s="4" t="n">
        <v>4</v>
      </c>
      <c r="J357" s="4" t="n">
        <v>4</v>
      </c>
      <c r="K357" s="4" t="n">
        <f aca="false">I357-J357</f>
        <v>0</v>
      </c>
    </row>
    <row r="358" customFormat="false" ht="15" hidden="false" customHeight="false" outlineLevel="0" collapsed="false">
      <c r="A358" s="4" t="s">
        <v>120</v>
      </c>
      <c r="B358" s="4" t="s">
        <v>121</v>
      </c>
      <c r="C358" s="4" t="s">
        <v>5</v>
      </c>
      <c r="D358" s="4" t="s">
        <v>118</v>
      </c>
      <c r="E358" s="4" t="s">
        <v>119</v>
      </c>
      <c r="F358" s="4" t="n">
        <v>8</v>
      </c>
      <c r="G358" s="4" t="s">
        <v>206</v>
      </c>
      <c r="H358" s="4" t="s">
        <v>205</v>
      </c>
      <c r="I358" s="4" t="n">
        <v>4</v>
      </c>
      <c r="J358" s="4" t="n">
        <v>4</v>
      </c>
      <c r="K358" s="4" t="n">
        <f aca="false">I358-J358</f>
        <v>0</v>
      </c>
    </row>
    <row r="359" customFormat="false" ht="15" hidden="false" customHeight="false" outlineLevel="0" collapsed="false">
      <c r="A359" s="4" t="s">
        <v>120</v>
      </c>
      <c r="B359" s="4" t="s">
        <v>121</v>
      </c>
      <c r="C359" s="4" t="s">
        <v>5</v>
      </c>
      <c r="D359" s="4" t="s">
        <v>118</v>
      </c>
      <c r="E359" s="4" t="s">
        <v>119</v>
      </c>
      <c r="F359" s="4" t="n">
        <v>9</v>
      </c>
      <c r="G359" s="4" t="s">
        <v>207</v>
      </c>
      <c r="H359" s="4" t="s">
        <v>208</v>
      </c>
      <c r="I359" s="4" t="n">
        <v>2</v>
      </c>
      <c r="J359" s="4" t="n">
        <v>3</v>
      </c>
      <c r="K359" s="4" t="n">
        <f aca="false">I359-J359</f>
        <v>-1</v>
      </c>
    </row>
    <row r="360" customFormat="false" ht="15" hidden="false" customHeight="false" outlineLevel="0" collapsed="false">
      <c r="A360" s="4" t="s">
        <v>120</v>
      </c>
      <c r="B360" s="4" t="s">
        <v>121</v>
      </c>
      <c r="C360" s="4" t="s">
        <v>5</v>
      </c>
      <c r="D360" s="4" t="s">
        <v>118</v>
      </c>
      <c r="E360" s="4" t="s">
        <v>119</v>
      </c>
      <c r="F360" s="4" t="n">
        <v>10</v>
      </c>
      <c r="G360" s="4" t="s">
        <v>209</v>
      </c>
      <c r="H360" s="4" t="s">
        <v>208</v>
      </c>
      <c r="I360" s="4" t="n">
        <v>3</v>
      </c>
      <c r="J360" s="4" t="n">
        <v>3</v>
      </c>
      <c r="K360" s="4" t="n">
        <f aca="false">I360-J360</f>
        <v>0</v>
      </c>
    </row>
    <row r="361" customFormat="false" ht="15" hidden="false" customHeight="false" outlineLevel="0" collapsed="false">
      <c r="A361" s="4" t="s">
        <v>120</v>
      </c>
      <c r="B361" s="4" t="s">
        <v>121</v>
      </c>
      <c r="C361" s="4" t="s">
        <v>5</v>
      </c>
      <c r="D361" s="4" t="s">
        <v>118</v>
      </c>
      <c r="E361" s="4" t="s">
        <v>119</v>
      </c>
      <c r="F361" s="4" t="n">
        <v>14</v>
      </c>
      <c r="G361" s="4" t="s">
        <v>199</v>
      </c>
      <c r="H361" s="4" t="s">
        <v>200</v>
      </c>
      <c r="I361" s="4" t="n">
        <v>2</v>
      </c>
      <c r="J361" s="4" t="n">
        <v>3</v>
      </c>
      <c r="K361" s="4" t="n">
        <f aca="false">I361-J361</f>
        <v>-1</v>
      </c>
    </row>
    <row r="362" customFormat="false" ht="15" hidden="false" customHeight="false" outlineLevel="0" collapsed="false">
      <c r="A362" s="4" t="s">
        <v>122</v>
      </c>
      <c r="B362" s="4" t="s">
        <v>123</v>
      </c>
      <c r="C362" s="4" t="s">
        <v>5</v>
      </c>
      <c r="D362" s="4" t="s">
        <v>118</v>
      </c>
      <c r="E362" s="4" t="s">
        <v>119</v>
      </c>
      <c r="F362" s="4" t="n">
        <v>1</v>
      </c>
      <c r="G362" s="4" t="s">
        <v>191</v>
      </c>
      <c r="H362" s="4" t="s">
        <v>192</v>
      </c>
      <c r="I362" s="4" t="n">
        <v>3</v>
      </c>
      <c r="J362" s="4" t="n">
        <v>4</v>
      </c>
      <c r="K362" s="4" t="n">
        <f aca="false">I362-J362</f>
        <v>-1</v>
      </c>
    </row>
    <row r="363" customFormat="false" ht="15" hidden="false" customHeight="false" outlineLevel="0" collapsed="false">
      <c r="A363" s="4" t="s">
        <v>122</v>
      </c>
      <c r="B363" s="4" t="s">
        <v>123</v>
      </c>
      <c r="C363" s="4" t="s">
        <v>5</v>
      </c>
      <c r="D363" s="4" t="s">
        <v>118</v>
      </c>
      <c r="E363" s="4" t="s">
        <v>119</v>
      </c>
      <c r="F363" s="4" t="n">
        <v>2</v>
      </c>
      <c r="G363" s="4" t="s">
        <v>193</v>
      </c>
      <c r="H363" s="4" t="s">
        <v>192</v>
      </c>
      <c r="I363" s="4" t="n">
        <v>5</v>
      </c>
      <c r="J363" s="4" t="n">
        <v>3</v>
      </c>
      <c r="K363" s="4" t="n">
        <f aca="false">I363-J363</f>
        <v>2</v>
      </c>
    </row>
    <row r="364" customFormat="false" ht="15" hidden="false" customHeight="false" outlineLevel="0" collapsed="false">
      <c r="A364" s="4" t="s">
        <v>122</v>
      </c>
      <c r="B364" s="4" t="s">
        <v>123</v>
      </c>
      <c r="C364" s="4" t="s">
        <v>5</v>
      </c>
      <c r="D364" s="4" t="s">
        <v>118</v>
      </c>
      <c r="E364" s="4" t="s">
        <v>119</v>
      </c>
      <c r="F364" s="4" t="n">
        <v>3</v>
      </c>
      <c r="G364" s="4" t="s">
        <v>194</v>
      </c>
      <c r="H364" s="4" t="s">
        <v>192</v>
      </c>
      <c r="I364" s="4" t="n">
        <v>3</v>
      </c>
      <c r="J364" s="4" t="n">
        <v>3</v>
      </c>
      <c r="K364" s="4" t="n">
        <f aca="false">I364-J364</f>
        <v>0</v>
      </c>
    </row>
    <row r="365" customFormat="false" ht="15" hidden="false" customHeight="false" outlineLevel="0" collapsed="false">
      <c r="A365" s="4" t="s">
        <v>122</v>
      </c>
      <c r="B365" s="4" t="s">
        <v>123</v>
      </c>
      <c r="C365" s="4" t="s">
        <v>5</v>
      </c>
      <c r="D365" s="4" t="s">
        <v>118</v>
      </c>
      <c r="E365" s="4" t="s">
        <v>119</v>
      </c>
      <c r="F365" s="4" t="n">
        <v>5</v>
      </c>
      <c r="G365" s="4" t="s">
        <v>201</v>
      </c>
      <c r="H365" s="4" t="s">
        <v>202</v>
      </c>
      <c r="I365" s="4" t="n">
        <v>4</v>
      </c>
      <c r="J365" s="4" t="n">
        <v>4</v>
      </c>
      <c r="K365" s="4" t="n">
        <f aca="false">I365-J365</f>
        <v>0</v>
      </c>
    </row>
    <row r="366" customFormat="false" ht="15" hidden="false" customHeight="false" outlineLevel="0" collapsed="false">
      <c r="A366" s="4" t="s">
        <v>122</v>
      </c>
      <c r="B366" s="4" t="s">
        <v>123</v>
      </c>
      <c r="C366" s="4" t="s">
        <v>5</v>
      </c>
      <c r="D366" s="4" t="s">
        <v>118</v>
      </c>
      <c r="E366" s="4" t="s">
        <v>119</v>
      </c>
      <c r="F366" s="4" t="n">
        <v>6</v>
      </c>
      <c r="G366" s="4" t="s">
        <v>203</v>
      </c>
      <c r="H366" s="4" t="s">
        <v>202</v>
      </c>
      <c r="I366" s="4" t="n">
        <v>3</v>
      </c>
      <c r="J366" s="4" t="n">
        <v>4</v>
      </c>
      <c r="K366" s="4" t="n">
        <f aca="false">I366-J366</f>
        <v>-1</v>
      </c>
    </row>
    <row r="367" customFormat="false" ht="15" hidden="false" customHeight="false" outlineLevel="0" collapsed="false">
      <c r="A367" s="4" t="s">
        <v>122</v>
      </c>
      <c r="B367" s="4" t="s">
        <v>123</v>
      </c>
      <c r="C367" s="4" t="s">
        <v>5</v>
      </c>
      <c r="D367" s="4" t="s">
        <v>118</v>
      </c>
      <c r="E367" s="4" t="s">
        <v>119</v>
      </c>
      <c r="F367" s="4" t="n">
        <v>7</v>
      </c>
      <c r="G367" s="4" t="s">
        <v>204</v>
      </c>
      <c r="H367" s="4" t="s">
        <v>205</v>
      </c>
      <c r="I367" s="4" t="n">
        <v>4</v>
      </c>
      <c r="J367" s="4" t="n">
        <v>4</v>
      </c>
      <c r="K367" s="4" t="n">
        <f aca="false">I367-J367</f>
        <v>0</v>
      </c>
    </row>
    <row r="368" customFormat="false" ht="15" hidden="false" customHeight="false" outlineLevel="0" collapsed="false">
      <c r="A368" s="4" t="s">
        <v>122</v>
      </c>
      <c r="B368" s="4" t="s">
        <v>123</v>
      </c>
      <c r="C368" s="4" t="s">
        <v>5</v>
      </c>
      <c r="D368" s="4" t="s">
        <v>118</v>
      </c>
      <c r="E368" s="4" t="s">
        <v>119</v>
      </c>
      <c r="F368" s="4" t="n">
        <v>8</v>
      </c>
      <c r="G368" s="4" t="s">
        <v>206</v>
      </c>
      <c r="H368" s="4" t="s">
        <v>205</v>
      </c>
      <c r="I368" s="4" t="n">
        <v>4</v>
      </c>
      <c r="J368" s="4" t="n">
        <v>3</v>
      </c>
      <c r="K368" s="4" t="n">
        <f aca="false">I368-J368</f>
        <v>1</v>
      </c>
    </row>
    <row r="369" customFormat="false" ht="15" hidden="false" customHeight="false" outlineLevel="0" collapsed="false">
      <c r="A369" s="4" t="s">
        <v>122</v>
      </c>
      <c r="B369" s="4" t="s">
        <v>123</v>
      </c>
      <c r="C369" s="4" t="s">
        <v>5</v>
      </c>
      <c r="D369" s="4" t="s">
        <v>118</v>
      </c>
      <c r="E369" s="4" t="s">
        <v>119</v>
      </c>
      <c r="F369" s="4" t="n">
        <v>9</v>
      </c>
      <c r="G369" s="4" t="s">
        <v>207</v>
      </c>
      <c r="H369" s="4" t="s">
        <v>208</v>
      </c>
      <c r="I369" s="4" t="n">
        <v>5</v>
      </c>
      <c r="J369" s="4" t="n">
        <v>4</v>
      </c>
      <c r="K369" s="4" t="n">
        <f aca="false">I369-J369</f>
        <v>1</v>
      </c>
    </row>
    <row r="370" customFormat="false" ht="15" hidden="false" customHeight="false" outlineLevel="0" collapsed="false">
      <c r="A370" s="4" t="s">
        <v>122</v>
      </c>
      <c r="B370" s="4" t="s">
        <v>123</v>
      </c>
      <c r="C370" s="4" t="s">
        <v>5</v>
      </c>
      <c r="D370" s="4" t="s">
        <v>118</v>
      </c>
      <c r="E370" s="4" t="s">
        <v>119</v>
      </c>
      <c r="F370" s="4" t="n">
        <v>10</v>
      </c>
      <c r="G370" s="4" t="s">
        <v>209</v>
      </c>
      <c r="H370" s="4" t="s">
        <v>208</v>
      </c>
      <c r="I370" s="4" t="n">
        <v>3</v>
      </c>
      <c r="J370" s="4" t="n">
        <v>3</v>
      </c>
      <c r="K370" s="4" t="n">
        <f aca="false">I370-J370</f>
        <v>0</v>
      </c>
    </row>
    <row r="371" customFormat="false" ht="15" hidden="false" customHeight="false" outlineLevel="0" collapsed="false">
      <c r="A371" s="4" t="s">
        <v>122</v>
      </c>
      <c r="B371" s="4" t="s">
        <v>123</v>
      </c>
      <c r="C371" s="4" t="s">
        <v>5</v>
      </c>
      <c r="D371" s="4" t="s">
        <v>118</v>
      </c>
      <c r="E371" s="4" t="s">
        <v>119</v>
      </c>
      <c r="F371" s="4" t="n">
        <v>14</v>
      </c>
      <c r="G371" s="4" t="s">
        <v>199</v>
      </c>
      <c r="H371" s="4" t="s">
        <v>200</v>
      </c>
      <c r="I371" s="4" t="n">
        <v>2</v>
      </c>
      <c r="J371" s="4" t="n">
        <v>3</v>
      </c>
      <c r="K371" s="4" t="n">
        <f aca="false">I371-J371</f>
        <v>-1</v>
      </c>
    </row>
    <row r="372" customFormat="false" ht="15" hidden="false" customHeight="false" outlineLevel="0" collapsed="false">
      <c r="A372" s="4" t="s">
        <v>124</v>
      </c>
      <c r="B372" s="4" t="s">
        <v>125</v>
      </c>
      <c r="C372" s="4" t="s">
        <v>5</v>
      </c>
      <c r="D372" s="4" t="s">
        <v>118</v>
      </c>
      <c r="E372" s="4" t="s">
        <v>119</v>
      </c>
      <c r="F372" s="4" t="n">
        <v>1</v>
      </c>
      <c r="G372" s="4" t="s">
        <v>191</v>
      </c>
      <c r="H372" s="4" t="s">
        <v>192</v>
      </c>
      <c r="I372" s="4" t="n">
        <v>4</v>
      </c>
      <c r="J372" s="4" t="n">
        <v>4</v>
      </c>
      <c r="K372" s="4" t="n">
        <f aca="false">I372-J372</f>
        <v>0</v>
      </c>
    </row>
    <row r="373" customFormat="false" ht="15" hidden="false" customHeight="false" outlineLevel="0" collapsed="false">
      <c r="A373" s="4" t="s">
        <v>124</v>
      </c>
      <c r="B373" s="4" t="s">
        <v>125</v>
      </c>
      <c r="C373" s="4" t="s">
        <v>5</v>
      </c>
      <c r="D373" s="4" t="s">
        <v>118</v>
      </c>
      <c r="E373" s="4" t="s">
        <v>119</v>
      </c>
      <c r="F373" s="4" t="n">
        <v>2</v>
      </c>
      <c r="G373" s="4" t="s">
        <v>193</v>
      </c>
      <c r="H373" s="4" t="s">
        <v>192</v>
      </c>
      <c r="I373" s="4" t="n">
        <v>4</v>
      </c>
      <c r="J373" s="4" t="n">
        <v>3</v>
      </c>
      <c r="K373" s="4" t="n">
        <f aca="false">I373-J373</f>
        <v>1</v>
      </c>
    </row>
    <row r="374" customFormat="false" ht="15" hidden="false" customHeight="false" outlineLevel="0" collapsed="false">
      <c r="A374" s="4" t="s">
        <v>124</v>
      </c>
      <c r="B374" s="4" t="s">
        <v>125</v>
      </c>
      <c r="C374" s="4" t="s">
        <v>5</v>
      </c>
      <c r="D374" s="4" t="s">
        <v>118</v>
      </c>
      <c r="E374" s="4" t="s">
        <v>119</v>
      </c>
      <c r="F374" s="4" t="n">
        <v>3</v>
      </c>
      <c r="G374" s="4" t="s">
        <v>194</v>
      </c>
      <c r="H374" s="4" t="s">
        <v>192</v>
      </c>
      <c r="I374" s="4" t="n">
        <v>4</v>
      </c>
      <c r="J374" s="4" t="n">
        <v>4</v>
      </c>
      <c r="K374" s="4" t="n">
        <f aca="false">I374-J374</f>
        <v>0</v>
      </c>
    </row>
    <row r="375" customFormat="false" ht="15" hidden="false" customHeight="false" outlineLevel="0" collapsed="false">
      <c r="A375" s="4" t="s">
        <v>124</v>
      </c>
      <c r="B375" s="4" t="s">
        <v>125</v>
      </c>
      <c r="C375" s="4" t="s">
        <v>5</v>
      </c>
      <c r="D375" s="4" t="s">
        <v>118</v>
      </c>
      <c r="E375" s="4" t="s">
        <v>119</v>
      </c>
      <c r="F375" s="4" t="n">
        <v>5</v>
      </c>
      <c r="G375" s="4" t="s">
        <v>201</v>
      </c>
      <c r="H375" s="4" t="s">
        <v>202</v>
      </c>
      <c r="I375" s="4" t="n">
        <v>5</v>
      </c>
      <c r="J375" s="4" t="n">
        <v>4</v>
      </c>
      <c r="K375" s="4" t="n">
        <f aca="false">I375-J375</f>
        <v>1</v>
      </c>
    </row>
    <row r="376" customFormat="false" ht="15" hidden="false" customHeight="false" outlineLevel="0" collapsed="false">
      <c r="A376" s="4" t="s">
        <v>124</v>
      </c>
      <c r="B376" s="4" t="s">
        <v>125</v>
      </c>
      <c r="C376" s="4" t="s">
        <v>5</v>
      </c>
      <c r="D376" s="4" t="s">
        <v>118</v>
      </c>
      <c r="E376" s="4" t="s">
        <v>119</v>
      </c>
      <c r="F376" s="4" t="n">
        <v>6</v>
      </c>
      <c r="G376" s="4" t="s">
        <v>203</v>
      </c>
      <c r="H376" s="4" t="s">
        <v>202</v>
      </c>
      <c r="I376" s="4" t="n">
        <v>4</v>
      </c>
      <c r="J376" s="4" t="n">
        <v>4</v>
      </c>
      <c r="K376" s="4" t="n">
        <f aca="false">I376-J376</f>
        <v>0</v>
      </c>
    </row>
    <row r="377" customFormat="false" ht="15" hidden="false" customHeight="false" outlineLevel="0" collapsed="false">
      <c r="A377" s="4" t="s">
        <v>124</v>
      </c>
      <c r="B377" s="4" t="s">
        <v>125</v>
      </c>
      <c r="C377" s="4" t="s">
        <v>5</v>
      </c>
      <c r="D377" s="4" t="s">
        <v>118</v>
      </c>
      <c r="E377" s="4" t="s">
        <v>119</v>
      </c>
      <c r="F377" s="4" t="n">
        <v>7</v>
      </c>
      <c r="G377" s="4" t="s">
        <v>204</v>
      </c>
      <c r="H377" s="4" t="s">
        <v>205</v>
      </c>
      <c r="I377" s="4" t="n">
        <v>4</v>
      </c>
      <c r="J377" s="4" t="n">
        <v>4</v>
      </c>
      <c r="K377" s="4" t="n">
        <f aca="false">I377-J377</f>
        <v>0</v>
      </c>
    </row>
    <row r="378" customFormat="false" ht="15" hidden="false" customHeight="false" outlineLevel="0" collapsed="false">
      <c r="A378" s="4" t="s">
        <v>124</v>
      </c>
      <c r="B378" s="4" t="s">
        <v>125</v>
      </c>
      <c r="C378" s="4" t="s">
        <v>5</v>
      </c>
      <c r="D378" s="4" t="s">
        <v>118</v>
      </c>
      <c r="E378" s="4" t="s">
        <v>119</v>
      </c>
      <c r="F378" s="4" t="n">
        <v>8</v>
      </c>
      <c r="G378" s="4" t="s">
        <v>206</v>
      </c>
      <c r="H378" s="4" t="s">
        <v>205</v>
      </c>
      <c r="I378" s="4" t="n">
        <v>2</v>
      </c>
      <c r="J378" s="4" t="n">
        <v>3</v>
      </c>
      <c r="K378" s="4" t="n">
        <f aca="false">I378-J378</f>
        <v>-1</v>
      </c>
    </row>
    <row r="379" customFormat="false" ht="15" hidden="false" customHeight="false" outlineLevel="0" collapsed="false">
      <c r="A379" s="4" t="s">
        <v>124</v>
      </c>
      <c r="B379" s="4" t="s">
        <v>125</v>
      </c>
      <c r="C379" s="4" t="s">
        <v>5</v>
      </c>
      <c r="D379" s="4" t="s">
        <v>118</v>
      </c>
      <c r="E379" s="4" t="s">
        <v>119</v>
      </c>
      <c r="F379" s="4" t="n">
        <v>9</v>
      </c>
      <c r="G379" s="4" t="s">
        <v>207</v>
      </c>
      <c r="H379" s="4" t="s">
        <v>208</v>
      </c>
      <c r="I379" s="4" t="n">
        <v>2</v>
      </c>
      <c r="J379" s="4" t="n">
        <v>2</v>
      </c>
      <c r="K379" s="4" t="n">
        <f aca="false">I379-J379</f>
        <v>0</v>
      </c>
    </row>
    <row r="380" customFormat="false" ht="15" hidden="false" customHeight="false" outlineLevel="0" collapsed="false">
      <c r="A380" s="4" t="s">
        <v>124</v>
      </c>
      <c r="B380" s="4" t="s">
        <v>125</v>
      </c>
      <c r="C380" s="4" t="s">
        <v>5</v>
      </c>
      <c r="D380" s="4" t="s">
        <v>118</v>
      </c>
      <c r="E380" s="4" t="s">
        <v>119</v>
      </c>
      <c r="F380" s="4" t="n">
        <v>10</v>
      </c>
      <c r="G380" s="4" t="s">
        <v>209</v>
      </c>
      <c r="H380" s="4" t="s">
        <v>208</v>
      </c>
      <c r="I380" s="4" t="n">
        <v>5</v>
      </c>
      <c r="J380" s="4" t="n">
        <v>4</v>
      </c>
      <c r="K380" s="4" t="n">
        <f aca="false">I380-J380</f>
        <v>1</v>
      </c>
    </row>
    <row r="381" customFormat="false" ht="15" hidden="false" customHeight="false" outlineLevel="0" collapsed="false">
      <c r="A381" s="4" t="s">
        <v>124</v>
      </c>
      <c r="B381" s="4" t="s">
        <v>125</v>
      </c>
      <c r="C381" s="4" t="s">
        <v>5</v>
      </c>
      <c r="D381" s="4" t="s">
        <v>118</v>
      </c>
      <c r="E381" s="4" t="s">
        <v>119</v>
      </c>
      <c r="F381" s="4" t="n">
        <v>14</v>
      </c>
      <c r="G381" s="4" t="s">
        <v>199</v>
      </c>
      <c r="H381" s="4" t="s">
        <v>200</v>
      </c>
      <c r="I381" s="4" t="n">
        <v>5</v>
      </c>
      <c r="J381" s="4" t="n">
        <v>4</v>
      </c>
      <c r="K381" s="4" t="n">
        <f aca="false">I381-J381</f>
        <v>1</v>
      </c>
    </row>
    <row r="382" customFormat="false" ht="15" hidden="false" customHeight="false" outlineLevel="0" collapsed="false">
      <c r="A382" s="4" t="s">
        <v>126</v>
      </c>
      <c r="B382" s="4" t="s">
        <v>127</v>
      </c>
      <c r="C382" s="4" t="s">
        <v>5</v>
      </c>
      <c r="D382" s="4" t="s">
        <v>118</v>
      </c>
      <c r="E382" s="4" t="s">
        <v>119</v>
      </c>
      <c r="F382" s="4" t="n">
        <v>1</v>
      </c>
      <c r="G382" s="4" t="s">
        <v>191</v>
      </c>
      <c r="H382" s="4" t="s">
        <v>192</v>
      </c>
      <c r="I382" s="4" t="n">
        <v>5</v>
      </c>
      <c r="J382" s="4" t="n">
        <v>5</v>
      </c>
      <c r="K382" s="4" t="n">
        <f aca="false">I382-J382</f>
        <v>0</v>
      </c>
    </row>
    <row r="383" customFormat="false" ht="15" hidden="false" customHeight="false" outlineLevel="0" collapsed="false">
      <c r="A383" s="4" t="s">
        <v>126</v>
      </c>
      <c r="B383" s="4" t="s">
        <v>127</v>
      </c>
      <c r="C383" s="4" t="s">
        <v>5</v>
      </c>
      <c r="D383" s="4" t="s">
        <v>118</v>
      </c>
      <c r="E383" s="4" t="s">
        <v>119</v>
      </c>
      <c r="F383" s="4" t="n">
        <v>2</v>
      </c>
      <c r="G383" s="4" t="s">
        <v>193</v>
      </c>
      <c r="H383" s="4" t="s">
        <v>192</v>
      </c>
      <c r="I383" s="4" t="n">
        <v>5</v>
      </c>
      <c r="J383" s="4" t="n">
        <v>4</v>
      </c>
      <c r="K383" s="4" t="n">
        <f aca="false">I383-J383</f>
        <v>1</v>
      </c>
    </row>
    <row r="384" customFormat="false" ht="15" hidden="false" customHeight="false" outlineLevel="0" collapsed="false">
      <c r="A384" s="4" t="s">
        <v>126</v>
      </c>
      <c r="B384" s="4" t="s">
        <v>127</v>
      </c>
      <c r="C384" s="4" t="s">
        <v>5</v>
      </c>
      <c r="D384" s="4" t="s">
        <v>118</v>
      </c>
      <c r="E384" s="4" t="s">
        <v>119</v>
      </c>
      <c r="F384" s="4" t="n">
        <v>3</v>
      </c>
      <c r="G384" s="4" t="s">
        <v>194</v>
      </c>
      <c r="H384" s="4" t="s">
        <v>192</v>
      </c>
      <c r="I384" s="4" t="n">
        <v>3</v>
      </c>
      <c r="J384" s="4" t="n">
        <v>3</v>
      </c>
      <c r="K384" s="4" t="n">
        <f aca="false">I384-J384</f>
        <v>0</v>
      </c>
    </row>
    <row r="385" customFormat="false" ht="15" hidden="false" customHeight="false" outlineLevel="0" collapsed="false">
      <c r="A385" s="4" t="s">
        <v>126</v>
      </c>
      <c r="B385" s="4" t="s">
        <v>127</v>
      </c>
      <c r="C385" s="4" t="s">
        <v>5</v>
      </c>
      <c r="D385" s="4" t="s">
        <v>118</v>
      </c>
      <c r="E385" s="4" t="s">
        <v>119</v>
      </c>
      <c r="F385" s="4" t="n">
        <v>5</v>
      </c>
      <c r="G385" s="4" t="s">
        <v>201</v>
      </c>
      <c r="H385" s="4" t="s">
        <v>202</v>
      </c>
      <c r="I385" s="4" t="n">
        <v>5</v>
      </c>
      <c r="J385" s="4" t="n">
        <v>5</v>
      </c>
      <c r="K385" s="4" t="n">
        <f aca="false">I385-J385</f>
        <v>0</v>
      </c>
    </row>
    <row r="386" customFormat="false" ht="15" hidden="false" customHeight="false" outlineLevel="0" collapsed="false">
      <c r="A386" s="4" t="s">
        <v>126</v>
      </c>
      <c r="B386" s="4" t="s">
        <v>127</v>
      </c>
      <c r="C386" s="4" t="s">
        <v>5</v>
      </c>
      <c r="D386" s="4" t="s">
        <v>118</v>
      </c>
      <c r="E386" s="4" t="s">
        <v>119</v>
      </c>
      <c r="F386" s="4" t="n">
        <v>6</v>
      </c>
      <c r="G386" s="4" t="s">
        <v>203</v>
      </c>
      <c r="H386" s="4" t="s">
        <v>202</v>
      </c>
      <c r="I386" s="4" t="n">
        <v>4</v>
      </c>
      <c r="J386" s="4" t="n">
        <v>4</v>
      </c>
      <c r="K386" s="4" t="n">
        <f aca="false">I386-J386</f>
        <v>0</v>
      </c>
    </row>
    <row r="387" customFormat="false" ht="15" hidden="false" customHeight="false" outlineLevel="0" collapsed="false">
      <c r="A387" s="4" t="s">
        <v>126</v>
      </c>
      <c r="B387" s="4" t="s">
        <v>127</v>
      </c>
      <c r="C387" s="4" t="s">
        <v>5</v>
      </c>
      <c r="D387" s="4" t="s">
        <v>118</v>
      </c>
      <c r="E387" s="4" t="s">
        <v>119</v>
      </c>
      <c r="F387" s="4" t="n">
        <v>7</v>
      </c>
      <c r="G387" s="4" t="s">
        <v>204</v>
      </c>
      <c r="H387" s="4" t="s">
        <v>205</v>
      </c>
      <c r="I387" s="4" t="n">
        <v>4</v>
      </c>
      <c r="J387" s="4" t="n">
        <v>4</v>
      </c>
      <c r="K387" s="4" t="n">
        <f aca="false">I387-J387</f>
        <v>0</v>
      </c>
    </row>
    <row r="388" customFormat="false" ht="15" hidden="false" customHeight="false" outlineLevel="0" collapsed="false">
      <c r="A388" s="4" t="s">
        <v>126</v>
      </c>
      <c r="B388" s="4" t="s">
        <v>127</v>
      </c>
      <c r="C388" s="4" t="s">
        <v>5</v>
      </c>
      <c r="D388" s="4" t="s">
        <v>118</v>
      </c>
      <c r="E388" s="4" t="s">
        <v>119</v>
      </c>
      <c r="F388" s="4" t="n">
        <v>8</v>
      </c>
      <c r="G388" s="4" t="s">
        <v>206</v>
      </c>
      <c r="H388" s="4" t="s">
        <v>205</v>
      </c>
      <c r="I388" s="4" t="n">
        <v>3</v>
      </c>
      <c r="J388" s="4" t="n">
        <v>4</v>
      </c>
      <c r="K388" s="4" t="n">
        <f aca="false">I388-J388</f>
        <v>-1</v>
      </c>
    </row>
    <row r="389" customFormat="false" ht="15" hidden="false" customHeight="false" outlineLevel="0" collapsed="false">
      <c r="A389" s="4" t="s">
        <v>126</v>
      </c>
      <c r="B389" s="4" t="s">
        <v>127</v>
      </c>
      <c r="C389" s="4" t="s">
        <v>5</v>
      </c>
      <c r="D389" s="4" t="s">
        <v>118</v>
      </c>
      <c r="E389" s="4" t="s">
        <v>119</v>
      </c>
      <c r="F389" s="4" t="n">
        <v>9</v>
      </c>
      <c r="G389" s="4" t="s">
        <v>207</v>
      </c>
      <c r="H389" s="4" t="s">
        <v>208</v>
      </c>
      <c r="I389" s="4" t="n">
        <v>4</v>
      </c>
      <c r="J389" s="4" t="n">
        <v>4</v>
      </c>
      <c r="K389" s="4" t="n">
        <f aca="false">I389-J389</f>
        <v>0</v>
      </c>
    </row>
    <row r="390" customFormat="false" ht="15" hidden="false" customHeight="false" outlineLevel="0" collapsed="false">
      <c r="A390" s="4" t="s">
        <v>126</v>
      </c>
      <c r="B390" s="4" t="s">
        <v>127</v>
      </c>
      <c r="C390" s="4" t="s">
        <v>5</v>
      </c>
      <c r="D390" s="4" t="s">
        <v>118</v>
      </c>
      <c r="E390" s="4" t="s">
        <v>119</v>
      </c>
      <c r="F390" s="4" t="n">
        <v>10</v>
      </c>
      <c r="G390" s="4" t="s">
        <v>209</v>
      </c>
      <c r="H390" s="4" t="s">
        <v>208</v>
      </c>
      <c r="I390" s="4" t="n">
        <v>4</v>
      </c>
      <c r="J390" s="4" t="n">
        <v>4</v>
      </c>
      <c r="K390" s="4" t="n">
        <f aca="false">I390-J390</f>
        <v>0</v>
      </c>
    </row>
    <row r="391" customFormat="false" ht="15" hidden="false" customHeight="false" outlineLevel="0" collapsed="false">
      <c r="A391" s="4" t="s">
        <v>126</v>
      </c>
      <c r="B391" s="4" t="s">
        <v>127</v>
      </c>
      <c r="C391" s="4" t="s">
        <v>5</v>
      </c>
      <c r="D391" s="4" t="s">
        <v>118</v>
      </c>
      <c r="E391" s="4" t="s">
        <v>119</v>
      </c>
      <c r="F391" s="4" t="n">
        <v>14</v>
      </c>
      <c r="G391" s="4" t="s">
        <v>199</v>
      </c>
      <c r="H391" s="4" t="s">
        <v>200</v>
      </c>
      <c r="I391" s="4" t="n">
        <v>4</v>
      </c>
      <c r="J391" s="4" t="n">
        <v>4</v>
      </c>
      <c r="K391" s="4" t="n">
        <f aca="false">I391-J391</f>
        <v>0</v>
      </c>
    </row>
    <row r="392" customFormat="false" ht="15" hidden="false" customHeight="false" outlineLevel="0" collapsed="false">
      <c r="A392" s="4" t="s">
        <v>128</v>
      </c>
      <c r="B392" s="4" t="s">
        <v>129</v>
      </c>
      <c r="C392" s="4" t="s">
        <v>7</v>
      </c>
      <c r="D392" s="4" t="s">
        <v>130</v>
      </c>
      <c r="E392" s="4" t="s">
        <v>119</v>
      </c>
      <c r="F392" s="4" t="n">
        <v>1</v>
      </c>
      <c r="G392" s="4" t="s">
        <v>191</v>
      </c>
      <c r="H392" s="4" t="s">
        <v>192</v>
      </c>
      <c r="I392" s="4" t="n">
        <v>5</v>
      </c>
      <c r="J392" s="4" t="n">
        <v>4</v>
      </c>
      <c r="K392" s="4" t="n">
        <f aca="false">I392-J392</f>
        <v>1</v>
      </c>
    </row>
    <row r="393" customFormat="false" ht="15" hidden="false" customHeight="false" outlineLevel="0" collapsed="false">
      <c r="A393" s="4" t="s">
        <v>128</v>
      </c>
      <c r="B393" s="4" t="s">
        <v>129</v>
      </c>
      <c r="C393" s="4" t="s">
        <v>7</v>
      </c>
      <c r="D393" s="4" t="s">
        <v>130</v>
      </c>
      <c r="E393" s="4" t="s">
        <v>119</v>
      </c>
      <c r="F393" s="4" t="n">
        <v>2</v>
      </c>
      <c r="G393" s="4" t="s">
        <v>193</v>
      </c>
      <c r="H393" s="4" t="s">
        <v>192</v>
      </c>
      <c r="I393" s="4" t="n">
        <v>4</v>
      </c>
      <c r="J393" s="4" t="n">
        <v>4</v>
      </c>
      <c r="K393" s="4" t="n">
        <f aca="false">I393-J393</f>
        <v>0</v>
      </c>
    </row>
    <row r="394" customFormat="false" ht="15" hidden="false" customHeight="false" outlineLevel="0" collapsed="false">
      <c r="A394" s="4" t="s">
        <v>128</v>
      </c>
      <c r="B394" s="4" t="s">
        <v>129</v>
      </c>
      <c r="C394" s="4" t="s">
        <v>7</v>
      </c>
      <c r="D394" s="4" t="s">
        <v>130</v>
      </c>
      <c r="E394" s="4" t="s">
        <v>119</v>
      </c>
      <c r="F394" s="4" t="n">
        <v>3</v>
      </c>
      <c r="G394" s="4" t="s">
        <v>194</v>
      </c>
      <c r="H394" s="4" t="s">
        <v>192</v>
      </c>
      <c r="I394" s="4" t="n">
        <v>5</v>
      </c>
      <c r="J394" s="4" t="n">
        <v>5</v>
      </c>
      <c r="K394" s="4" t="n">
        <f aca="false">I394-J394</f>
        <v>0</v>
      </c>
    </row>
    <row r="395" customFormat="false" ht="15" hidden="false" customHeight="false" outlineLevel="0" collapsed="false">
      <c r="A395" s="4" t="s">
        <v>128</v>
      </c>
      <c r="B395" s="4" t="s">
        <v>129</v>
      </c>
      <c r="C395" s="4" t="s">
        <v>7</v>
      </c>
      <c r="D395" s="4" t="s">
        <v>130</v>
      </c>
      <c r="E395" s="4" t="s">
        <v>119</v>
      </c>
      <c r="F395" s="4" t="n">
        <v>11</v>
      </c>
      <c r="G395" s="4" t="s">
        <v>195</v>
      </c>
      <c r="H395" s="4" t="s">
        <v>196</v>
      </c>
      <c r="I395" s="4" t="n">
        <v>5</v>
      </c>
      <c r="J395" s="4" t="n">
        <v>5</v>
      </c>
      <c r="K395" s="4" t="n">
        <f aca="false">I395-J395</f>
        <v>0</v>
      </c>
    </row>
    <row r="396" customFormat="false" ht="15" hidden="false" customHeight="false" outlineLevel="0" collapsed="false">
      <c r="A396" s="4" t="s">
        <v>128</v>
      </c>
      <c r="B396" s="4" t="s">
        <v>129</v>
      </c>
      <c r="C396" s="4" t="s">
        <v>7</v>
      </c>
      <c r="D396" s="4" t="s">
        <v>130</v>
      </c>
      <c r="E396" s="4" t="s">
        <v>119</v>
      </c>
      <c r="F396" s="4" t="n">
        <v>12</v>
      </c>
      <c r="G396" s="4" t="s">
        <v>197</v>
      </c>
      <c r="H396" s="4" t="s">
        <v>196</v>
      </c>
      <c r="I396" s="4" t="n">
        <v>5</v>
      </c>
      <c r="J396" s="4" t="n">
        <v>5</v>
      </c>
      <c r="K396" s="4" t="n">
        <f aca="false">I396-J396</f>
        <v>0</v>
      </c>
    </row>
    <row r="397" customFormat="false" ht="15" hidden="false" customHeight="false" outlineLevel="0" collapsed="false">
      <c r="A397" s="4" t="s">
        <v>128</v>
      </c>
      <c r="B397" s="4" t="s">
        <v>129</v>
      </c>
      <c r="C397" s="4" t="s">
        <v>7</v>
      </c>
      <c r="D397" s="4" t="s">
        <v>130</v>
      </c>
      <c r="E397" s="4" t="s">
        <v>119</v>
      </c>
      <c r="F397" s="4" t="n">
        <v>13</v>
      </c>
      <c r="G397" s="4" t="s">
        <v>198</v>
      </c>
      <c r="H397" s="4" t="s">
        <v>196</v>
      </c>
      <c r="I397" s="4" t="n">
        <v>3</v>
      </c>
      <c r="J397" s="4" t="n">
        <v>4</v>
      </c>
      <c r="K397" s="4" t="n">
        <f aca="false">I397-J397</f>
        <v>-1</v>
      </c>
    </row>
    <row r="398" customFormat="false" ht="15" hidden="false" customHeight="false" outlineLevel="0" collapsed="false">
      <c r="A398" s="4" t="s">
        <v>128</v>
      </c>
      <c r="B398" s="4" t="s">
        <v>129</v>
      </c>
      <c r="C398" s="4" t="s">
        <v>7</v>
      </c>
      <c r="D398" s="4" t="s">
        <v>130</v>
      </c>
      <c r="E398" s="4" t="s">
        <v>119</v>
      </c>
      <c r="F398" s="4" t="n">
        <v>14</v>
      </c>
      <c r="G398" s="4" t="s">
        <v>199</v>
      </c>
      <c r="H398" s="4" t="s">
        <v>200</v>
      </c>
      <c r="I398" s="4" t="n">
        <v>4</v>
      </c>
      <c r="J398" s="4" t="n">
        <v>4</v>
      </c>
      <c r="K398" s="4" t="n">
        <f aca="false">I398-J398</f>
        <v>0</v>
      </c>
    </row>
    <row r="399" customFormat="false" ht="15" hidden="false" customHeight="false" outlineLevel="0" collapsed="false">
      <c r="A399" s="4" t="s">
        <v>131</v>
      </c>
      <c r="B399" s="4" t="s">
        <v>132</v>
      </c>
      <c r="C399" s="4" t="s">
        <v>5</v>
      </c>
      <c r="D399" s="4" t="s">
        <v>130</v>
      </c>
      <c r="E399" s="4" t="s">
        <v>119</v>
      </c>
      <c r="F399" s="4" t="n">
        <v>1</v>
      </c>
      <c r="G399" s="4" t="s">
        <v>191</v>
      </c>
      <c r="H399" s="4" t="s">
        <v>192</v>
      </c>
      <c r="I399" s="4" t="n">
        <v>4</v>
      </c>
      <c r="J399" s="4" t="n">
        <v>4</v>
      </c>
      <c r="K399" s="4" t="n">
        <f aca="false">I399-J399</f>
        <v>0</v>
      </c>
    </row>
    <row r="400" customFormat="false" ht="15" hidden="false" customHeight="false" outlineLevel="0" collapsed="false">
      <c r="A400" s="4" t="s">
        <v>131</v>
      </c>
      <c r="B400" s="4" t="s">
        <v>132</v>
      </c>
      <c r="C400" s="4" t="s">
        <v>5</v>
      </c>
      <c r="D400" s="4" t="s">
        <v>130</v>
      </c>
      <c r="E400" s="4" t="s">
        <v>119</v>
      </c>
      <c r="F400" s="4" t="n">
        <v>2</v>
      </c>
      <c r="G400" s="4" t="s">
        <v>193</v>
      </c>
      <c r="H400" s="4" t="s">
        <v>192</v>
      </c>
      <c r="I400" s="4" t="n">
        <v>3</v>
      </c>
      <c r="J400" s="4" t="n">
        <v>4</v>
      </c>
      <c r="K400" s="4" t="n">
        <f aca="false">I400-J400</f>
        <v>-1</v>
      </c>
    </row>
    <row r="401" customFormat="false" ht="15" hidden="false" customHeight="false" outlineLevel="0" collapsed="false">
      <c r="A401" s="4" t="s">
        <v>131</v>
      </c>
      <c r="B401" s="4" t="s">
        <v>132</v>
      </c>
      <c r="C401" s="4" t="s">
        <v>5</v>
      </c>
      <c r="D401" s="4" t="s">
        <v>130</v>
      </c>
      <c r="E401" s="4" t="s">
        <v>119</v>
      </c>
      <c r="F401" s="4" t="n">
        <v>3</v>
      </c>
      <c r="G401" s="4" t="s">
        <v>194</v>
      </c>
      <c r="H401" s="4" t="s">
        <v>192</v>
      </c>
      <c r="I401" s="4" t="n">
        <v>3</v>
      </c>
      <c r="J401" s="4" t="n">
        <v>4</v>
      </c>
      <c r="K401" s="4" t="n">
        <f aca="false">I401-J401</f>
        <v>-1</v>
      </c>
    </row>
    <row r="402" customFormat="false" ht="15" hidden="false" customHeight="false" outlineLevel="0" collapsed="false">
      <c r="A402" s="4" t="s">
        <v>131</v>
      </c>
      <c r="B402" s="4" t="s">
        <v>132</v>
      </c>
      <c r="C402" s="4" t="s">
        <v>5</v>
      </c>
      <c r="D402" s="4" t="s">
        <v>130</v>
      </c>
      <c r="E402" s="4" t="s">
        <v>119</v>
      </c>
      <c r="F402" s="4" t="n">
        <v>5</v>
      </c>
      <c r="G402" s="4" t="s">
        <v>201</v>
      </c>
      <c r="H402" s="4" t="s">
        <v>202</v>
      </c>
      <c r="I402" s="4" t="n">
        <v>2</v>
      </c>
      <c r="J402" s="4" t="n">
        <v>3</v>
      </c>
      <c r="K402" s="4" t="n">
        <f aca="false">I402-J402</f>
        <v>-1</v>
      </c>
    </row>
    <row r="403" customFormat="false" ht="15" hidden="false" customHeight="false" outlineLevel="0" collapsed="false">
      <c r="A403" s="4" t="s">
        <v>131</v>
      </c>
      <c r="B403" s="4" t="s">
        <v>132</v>
      </c>
      <c r="C403" s="4" t="s">
        <v>5</v>
      </c>
      <c r="D403" s="4" t="s">
        <v>130</v>
      </c>
      <c r="E403" s="4" t="s">
        <v>119</v>
      </c>
      <c r="F403" s="4" t="n">
        <v>6</v>
      </c>
      <c r="G403" s="4" t="s">
        <v>203</v>
      </c>
      <c r="H403" s="4" t="s">
        <v>202</v>
      </c>
      <c r="I403" s="4" t="n">
        <v>5</v>
      </c>
      <c r="J403" s="4" t="n">
        <v>4</v>
      </c>
      <c r="K403" s="4" t="n">
        <f aca="false">I403-J403</f>
        <v>1</v>
      </c>
    </row>
    <row r="404" customFormat="false" ht="15" hidden="false" customHeight="false" outlineLevel="0" collapsed="false">
      <c r="A404" s="4" t="s">
        <v>131</v>
      </c>
      <c r="B404" s="4" t="s">
        <v>132</v>
      </c>
      <c r="C404" s="4" t="s">
        <v>5</v>
      </c>
      <c r="D404" s="4" t="s">
        <v>130</v>
      </c>
      <c r="E404" s="4" t="s">
        <v>119</v>
      </c>
      <c r="F404" s="4" t="n">
        <v>7</v>
      </c>
      <c r="G404" s="4" t="s">
        <v>204</v>
      </c>
      <c r="H404" s="4" t="s">
        <v>205</v>
      </c>
      <c r="I404" s="4" t="n">
        <v>5</v>
      </c>
      <c r="J404" s="4" t="n">
        <v>5</v>
      </c>
      <c r="K404" s="4" t="n">
        <f aca="false">I404-J404</f>
        <v>0</v>
      </c>
    </row>
    <row r="405" customFormat="false" ht="15" hidden="false" customHeight="false" outlineLevel="0" collapsed="false">
      <c r="A405" s="4" t="s">
        <v>131</v>
      </c>
      <c r="B405" s="4" t="s">
        <v>132</v>
      </c>
      <c r="C405" s="4" t="s">
        <v>5</v>
      </c>
      <c r="D405" s="4" t="s">
        <v>130</v>
      </c>
      <c r="E405" s="4" t="s">
        <v>119</v>
      </c>
      <c r="F405" s="4" t="n">
        <v>8</v>
      </c>
      <c r="G405" s="4" t="s">
        <v>206</v>
      </c>
      <c r="H405" s="4" t="s">
        <v>205</v>
      </c>
      <c r="I405" s="4" t="n">
        <v>5</v>
      </c>
      <c r="J405" s="4" t="n">
        <v>4</v>
      </c>
      <c r="K405" s="4" t="n">
        <f aca="false">I405-J405</f>
        <v>1</v>
      </c>
    </row>
    <row r="406" customFormat="false" ht="15" hidden="false" customHeight="false" outlineLevel="0" collapsed="false">
      <c r="A406" s="4" t="s">
        <v>131</v>
      </c>
      <c r="B406" s="4" t="s">
        <v>132</v>
      </c>
      <c r="C406" s="4" t="s">
        <v>5</v>
      </c>
      <c r="D406" s="4" t="s">
        <v>130</v>
      </c>
      <c r="E406" s="4" t="s">
        <v>119</v>
      </c>
      <c r="F406" s="4" t="n">
        <v>9</v>
      </c>
      <c r="G406" s="4" t="s">
        <v>207</v>
      </c>
      <c r="H406" s="4" t="s">
        <v>208</v>
      </c>
      <c r="I406" s="4" t="n">
        <v>5</v>
      </c>
      <c r="J406" s="4" t="n">
        <v>4</v>
      </c>
      <c r="K406" s="4" t="n">
        <f aca="false">I406-J406</f>
        <v>1</v>
      </c>
    </row>
    <row r="407" customFormat="false" ht="15" hidden="false" customHeight="false" outlineLevel="0" collapsed="false">
      <c r="A407" s="4" t="s">
        <v>131</v>
      </c>
      <c r="B407" s="4" t="s">
        <v>132</v>
      </c>
      <c r="C407" s="4" t="s">
        <v>5</v>
      </c>
      <c r="D407" s="4" t="s">
        <v>130</v>
      </c>
      <c r="E407" s="4" t="s">
        <v>119</v>
      </c>
      <c r="F407" s="4" t="n">
        <v>10</v>
      </c>
      <c r="G407" s="4" t="s">
        <v>209</v>
      </c>
      <c r="H407" s="4" t="s">
        <v>208</v>
      </c>
      <c r="I407" s="4" t="n">
        <v>3</v>
      </c>
      <c r="J407" s="4" t="n">
        <v>3</v>
      </c>
      <c r="K407" s="4" t="n">
        <f aca="false">I407-J407</f>
        <v>0</v>
      </c>
    </row>
    <row r="408" customFormat="false" ht="15" hidden="false" customHeight="false" outlineLevel="0" collapsed="false">
      <c r="A408" s="4" t="s">
        <v>131</v>
      </c>
      <c r="B408" s="4" t="s">
        <v>132</v>
      </c>
      <c r="C408" s="4" t="s">
        <v>5</v>
      </c>
      <c r="D408" s="4" t="s">
        <v>130</v>
      </c>
      <c r="E408" s="4" t="s">
        <v>119</v>
      </c>
      <c r="F408" s="4" t="n">
        <v>14</v>
      </c>
      <c r="G408" s="4" t="s">
        <v>199</v>
      </c>
      <c r="H408" s="4" t="s">
        <v>200</v>
      </c>
      <c r="I408" s="4" t="n">
        <v>4</v>
      </c>
      <c r="J408" s="4" t="n">
        <v>3</v>
      </c>
      <c r="K408" s="4" t="n">
        <f aca="false">I408-J408</f>
        <v>1</v>
      </c>
    </row>
    <row r="409" customFormat="false" ht="15" hidden="false" customHeight="false" outlineLevel="0" collapsed="false">
      <c r="A409" s="4" t="s">
        <v>133</v>
      </c>
      <c r="B409" s="4" t="s">
        <v>134</v>
      </c>
      <c r="C409" s="4" t="s">
        <v>5</v>
      </c>
      <c r="D409" s="4" t="s">
        <v>130</v>
      </c>
      <c r="E409" s="4" t="s">
        <v>119</v>
      </c>
      <c r="F409" s="4" t="n">
        <v>1</v>
      </c>
      <c r="G409" s="4" t="s">
        <v>191</v>
      </c>
      <c r="H409" s="4" t="s">
        <v>192</v>
      </c>
      <c r="I409" s="4" t="n">
        <v>5</v>
      </c>
      <c r="J409" s="4" t="n">
        <v>4</v>
      </c>
      <c r="K409" s="4" t="n">
        <f aca="false">I409-J409</f>
        <v>1</v>
      </c>
    </row>
    <row r="410" customFormat="false" ht="15" hidden="false" customHeight="false" outlineLevel="0" collapsed="false">
      <c r="A410" s="4" t="s">
        <v>133</v>
      </c>
      <c r="B410" s="4" t="s">
        <v>134</v>
      </c>
      <c r="C410" s="4" t="s">
        <v>5</v>
      </c>
      <c r="D410" s="4" t="s">
        <v>130</v>
      </c>
      <c r="E410" s="4" t="s">
        <v>119</v>
      </c>
      <c r="F410" s="4" t="n">
        <v>2</v>
      </c>
      <c r="G410" s="4" t="s">
        <v>193</v>
      </c>
      <c r="H410" s="4" t="s">
        <v>192</v>
      </c>
      <c r="I410" s="4" t="n">
        <v>5</v>
      </c>
      <c r="J410" s="4" t="n">
        <v>4</v>
      </c>
      <c r="K410" s="4" t="n">
        <f aca="false">I410-J410</f>
        <v>1</v>
      </c>
    </row>
    <row r="411" customFormat="false" ht="15" hidden="false" customHeight="false" outlineLevel="0" collapsed="false">
      <c r="A411" s="4" t="s">
        <v>133</v>
      </c>
      <c r="B411" s="4" t="s">
        <v>134</v>
      </c>
      <c r="C411" s="4" t="s">
        <v>5</v>
      </c>
      <c r="D411" s="4" t="s">
        <v>130</v>
      </c>
      <c r="E411" s="4" t="s">
        <v>119</v>
      </c>
      <c r="F411" s="4" t="n">
        <v>3</v>
      </c>
      <c r="G411" s="4" t="s">
        <v>194</v>
      </c>
      <c r="H411" s="4" t="s">
        <v>192</v>
      </c>
      <c r="I411" s="4" t="n">
        <v>5</v>
      </c>
      <c r="J411" s="4" t="n">
        <v>5</v>
      </c>
      <c r="K411" s="4" t="n">
        <f aca="false">I411-J411</f>
        <v>0</v>
      </c>
    </row>
    <row r="412" customFormat="false" ht="15" hidden="false" customHeight="false" outlineLevel="0" collapsed="false">
      <c r="A412" s="4" t="s">
        <v>133</v>
      </c>
      <c r="B412" s="4" t="s">
        <v>134</v>
      </c>
      <c r="C412" s="4" t="s">
        <v>5</v>
      </c>
      <c r="D412" s="4" t="s">
        <v>130</v>
      </c>
      <c r="E412" s="4" t="s">
        <v>119</v>
      </c>
      <c r="F412" s="4" t="n">
        <v>5</v>
      </c>
      <c r="G412" s="4" t="s">
        <v>201</v>
      </c>
      <c r="H412" s="4" t="s">
        <v>202</v>
      </c>
      <c r="I412" s="4" t="n">
        <v>5</v>
      </c>
      <c r="J412" s="4" t="n">
        <v>5</v>
      </c>
      <c r="K412" s="4" t="n">
        <f aca="false">I412-J412</f>
        <v>0</v>
      </c>
    </row>
    <row r="413" customFormat="false" ht="15" hidden="false" customHeight="false" outlineLevel="0" collapsed="false">
      <c r="A413" s="4" t="s">
        <v>133</v>
      </c>
      <c r="B413" s="4" t="s">
        <v>134</v>
      </c>
      <c r="C413" s="4" t="s">
        <v>5</v>
      </c>
      <c r="D413" s="4" t="s">
        <v>130</v>
      </c>
      <c r="E413" s="4" t="s">
        <v>119</v>
      </c>
      <c r="F413" s="4" t="n">
        <v>6</v>
      </c>
      <c r="G413" s="4" t="s">
        <v>203</v>
      </c>
      <c r="H413" s="4" t="s">
        <v>202</v>
      </c>
      <c r="I413" s="4" t="n">
        <v>5</v>
      </c>
      <c r="J413" s="4" t="n">
        <v>5</v>
      </c>
      <c r="K413" s="4" t="n">
        <f aca="false">I413-J413</f>
        <v>0</v>
      </c>
    </row>
    <row r="414" customFormat="false" ht="15" hidden="false" customHeight="false" outlineLevel="0" collapsed="false">
      <c r="A414" s="4" t="s">
        <v>133</v>
      </c>
      <c r="B414" s="4" t="s">
        <v>134</v>
      </c>
      <c r="C414" s="4" t="s">
        <v>5</v>
      </c>
      <c r="D414" s="4" t="s">
        <v>130</v>
      </c>
      <c r="E414" s="4" t="s">
        <v>119</v>
      </c>
      <c r="F414" s="4" t="n">
        <v>7</v>
      </c>
      <c r="G414" s="4" t="s">
        <v>204</v>
      </c>
      <c r="H414" s="4" t="s">
        <v>205</v>
      </c>
      <c r="I414" s="4" t="n">
        <v>5</v>
      </c>
      <c r="J414" s="4" t="n">
        <v>3</v>
      </c>
      <c r="K414" s="4" t="n">
        <f aca="false">I414-J414</f>
        <v>2</v>
      </c>
    </row>
    <row r="415" customFormat="false" ht="15" hidden="false" customHeight="false" outlineLevel="0" collapsed="false">
      <c r="A415" s="4" t="s">
        <v>133</v>
      </c>
      <c r="B415" s="4" t="s">
        <v>134</v>
      </c>
      <c r="C415" s="4" t="s">
        <v>5</v>
      </c>
      <c r="D415" s="4" t="s">
        <v>130</v>
      </c>
      <c r="E415" s="4" t="s">
        <v>119</v>
      </c>
      <c r="F415" s="4" t="n">
        <v>8</v>
      </c>
      <c r="G415" s="4" t="s">
        <v>206</v>
      </c>
      <c r="H415" s="4" t="s">
        <v>205</v>
      </c>
      <c r="I415" s="4" t="n">
        <v>4</v>
      </c>
      <c r="J415" s="4" t="n">
        <v>4</v>
      </c>
      <c r="K415" s="4" t="n">
        <f aca="false">I415-J415</f>
        <v>0</v>
      </c>
    </row>
    <row r="416" customFormat="false" ht="15" hidden="false" customHeight="false" outlineLevel="0" collapsed="false">
      <c r="A416" s="4" t="s">
        <v>133</v>
      </c>
      <c r="B416" s="4" t="s">
        <v>134</v>
      </c>
      <c r="C416" s="4" t="s">
        <v>5</v>
      </c>
      <c r="D416" s="4" t="s">
        <v>130</v>
      </c>
      <c r="E416" s="4" t="s">
        <v>119</v>
      </c>
      <c r="F416" s="4" t="n">
        <v>9</v>
      </c>
      <c r="G416" s="4" t="s">
        <v>207</v>
      </c>
      <c r="H416" s="4" t="s">
        <v>208</v>
      </c>
      <c r="I416" s="4" t="n">
        <v>5</v>
      </c>
      <c r="J416" s="4" t="n">
        <v>4</v>
      </c>
      <c r="K416" s="4" t="n">
        <f aca="false">I416-J416</f>
        <v>1</v>
      </c>
    </row>
    <row r="417" customFormat="false" ht="15" hidden="false" customHeight="false" outlineLevel="0" collapsed="false">
      <c r="A417" s="4" t="s">
        <v>133</v>
      </c>
      <c r="B417" s="4" t="s">
        <v>134</v>
      </c>
      <c r="C417" s="4" t="s">
        <v>5</v>
      </c>
      <c r="D417" s="4" t="s">
        <v>130</v>
      </c>
      <c r="E417" s="4" t="s">
        <v>119</v>
      </c>
      <c r="F417" s="4" t="n">
        <v>10</v>
      </c>
      <c r="G417" s="4" t="s">
        <v>209</v>
      </c>
      <c r="H417" s="4" t="s">
        <v>208</v>
      </c>
      <c r="I417" s="4" t="n">
        <v>3</v>
      </c>
      <c r="J417" s="4" t="n">
        <v>4</v>
      </c>
      <c r="K417" s="4" t="n">
        <f aca="false">I417-J417</f>
        <v>-1</v>
      </c>
    </row>
    <row r="418" customFormat="false" ht="15" hidden="false" customHeight="false" outlineLevel="0" collapsed="false">
      <c r="A418" s="4" t="s">
        <v>133</v>
      </c>
      <c r="B418" s="4" t="s">
        <v>134</v>
      </c>
      <c r="C418" s="4" t="s">
        <v>5</v>
      </c>
      <c r="D418" s="4" t="s">
        <v>130</v>
      </c>
      <c r="E418" s="4" t="s">
        <v>119</v>
      </c>
      <c r="F418" s="4" t="n">
        <v>14</v>
      </c>
      <c r="G418" s="4" t="s">
        <v>199</v>
      </c>
      <c r="H418" s="4" t="s">
        <v>200</v>
      </c>
      <c r="I418" s="4" t="n">
        <v>4</v>
      </c>
      <c r="J418" s="4" t="n">
        <v>3</v>
      </c>
      <c r="K418" s="4" t="n">
        <f aca="false">I418-J418</f>
        <v>1</v>
      </c>
    </row>
    <row r="419" customFormat="false" ht="15" hidden="false" customHeight="false" outlineLevel="0" collapsed="false">
      <c r="A419" s="4" t="s">
        <v>135</v>
      </c>
      <c r="B419" s="4" t="s">
        <v>136</v>
      </c>
      <c r="C419" s="4" t="s">
        <v>5</v>
      </c>
      <c r="D419" s="4" t="s">
        <v>130</v>
      </c>
      <c r="E419" s="4" t="s">
        <v>119</v>
      </c>
      <c r="F419" s="4" t="n">
        <v>1</v>
      </c>
      <c r="G419" s="4" t="s">
        <v>191</v>
      </c>
      <c r="H419" s="4" t="s">
        <v>192</v>
      </c>
      <c r="I419" s="4" t="n">
        <v>4</v>
      </c>
      <c r="J419" s="4" t="n">
        <v>4</v>
      </c>
      <c r="K419" s="4" t="n">
        <f aca="false">I419-J419</f>
        <v>0</v>
      </c>
    </row>
    <row r="420" customFormat="false" ht="15" hidden="false" customHeight="false" outlineLevel="0" collapsed="false">
      <c r="A420" s="4" t="s">
        <v>135</v>
      </c>
      <c r="B420" s="4" t="s">
        <v>136</v>
      </c>
      <c r="C420" s="4" t="s">
        <v>5</v>
      </c>
      <c r="D420" s="4" t="s">
        <v>130</v>
      </c>
      <c r="E420" s="4" t="s">
        <v>119</v>
      </c>
      <c r="F420" s="4" t="n">
        <v>2</v>
      </c>
      <c r="G420" s="4" t="s">
        <v>193</v>
      </c>
      <c r="H420" s="4" t="s">
        <v>192</v>
      </c>
      <c r="I420" s="4" t="n">
        <v>4</v>
      </c>
      <c r="J420" s="4" t="n">
        <v>4</v>
      </c>
      <c r="K420" s="4" t="n">
        <f aca="false">I420-J420</f>
        <v>0</v>
      </c>
    </row>
    <row r="421" customFormat="false" ht="15" hidden="false" customHeight="false" outlineLevel="0" collapsed="false">
      <c r="A421" s="4" t="s">
        <v>135</v>
      </c>
      <c r="B421" s="4" t="s">
        <v>136</v>
      </c>
      <c r="C421" s="4" t="s">
        <v>5</v>
      </c>
      <c r="D421" s="4" t="s">
        <v>130</v>
      </c>
      <c r="E421" s="4" t="s">
        <v>119</v>
      </c>
      <c r="F421" s="4" t="n">
        <v>3</v>
      </c>
      <c r="G421" s="4" t="s">
        <v>194</v>
      </c>
      <c r="H421" s="4" t="s">
        <v>192</v>
      </c>
      <c r="I421" s="4" t="n">
        <v>3</v>
      </c>
      <c r="J421" s="4" t="n">
        <v>3</v>
      </c>
      <c r="K421" s="4" t="n">
        <f aca="false">I421-J421</f>
        <v>0</v>
      </c>
    </row>
    <row r="422" customFormat="false" ht="15" hidden="false" customHeight="false" outlineLevel="0" collapsed="false">
      <c r="A422" s="4" t="s">
        <v>135</v>
      </c>
      <c r="B422" s="4" t="s">
        <v>136</v>
      </c>
      <c r="C422" s="4" t="s">
        <v>5</v>
      </c>
      <c r="D422" s="4" t="s">
        <v>130</v>
      </c>
      <c r="E422" s="4" t="s">
        <v>119</v>
      </c>
      <c r="F422" s="4" t="n">
        <v>5</v>
      </c>
      <c r="G422" s="4" t="s">
        <v>201</v>
      </c>
      <c r="H422" s="4" t="s">
        <v>202</v>
      </c>
      <c r="I422" s="4" t="n">
        <v>5</v>
      </c>
      <c r="J422" s="4" t="n">
        <v>4</v>
      </c>
      <c r="K422" s="4" t="n">
        <f aca="false">I422-J422</f>
        <v>1</v>
      </c>
    </row>
    <row r="423" customFormat="false" ht="15" hidden="false" customHeight="false" outlineLevel="0" collapsed="false">
      <c r="A423" s="4" t="s">
        <v>135</v>
      </c>
      <c r="B423" s="4" t="s">
        <v>136</v>
      </c>
      <c r="C423" s="4" t="s">
        <v>5</v>
      </c>
      <c r="D423" s="4" t="s">
        <v>130</v>
      </c>
      <c r="E423" s="4" t="s">
        <v>119</v>
      </c>
      <c r="F423" s="4" t="n">
        <v>6</v>
      </c>
      <c r="G423" s="4" t="s">
        <v>203</v>
      </c>
      <c r="H423" s="4" t="s">
        <v>202</v>
      </c>
      <c r="I423" s="4" t="n">
        <v>4</v>
      </c>
      <c r="J423" s="4" t="n">
        <v>4</v>
      </c>
      <c r="K423" s="4" t="n">
        <f aca="false">I423-J423</f>
        <v>0</v>
      </c>
    </row>
    <row r="424" customFormat="false" ht="15" hidden="false" customHeight="false" outlineLevel="0" collapsed="false">
      <c r="A424" s="4" t="s">
        <v>135</v>
      </c>
      <c r="B424" s="4" t="s">
        <v>136</v>
      </c>
      <c r="C424" s="4" t="s">
        <v>5</v>
      </c>
      <c r="D424" s="4" t="s">
        <v>130</v>
      </c>
      <c r="E424" s="4" t="s">
        <v>119</v>
      </c>
      <c r="F424" s="4" t="n">
        <v>7</v>
      </c>
      <c r="G424" s="4" t="s">
        <v>204</v>
      </c>
      <c r="H424" s="4" t="s">
        <v>205</v>
      </c>
      <c r="I424" s="4" t="n">
        <v>1</v>
      </c>
      <c r="J424" s="4" t="n">
        <v>2</v>
      </c>
      <c r="K424" s="4" t="n">
        <f aca="false">I424-J424</f>
        <v>-1</v>
      </c>
    </row>
    <row r="425" customFormat="false" ht="15" hidden="false" customHeight="false" outlineLevel="0" collapsed="false">
      <c r="A425" s="4" t="s">
        <v>135</v>
      </c>
      <c r="B425" s="4" t="s">
        <v>136</v>
      </c>
      <c r="C425" s="4" t="s">
        <v>5</v>
      </c>
      <c r="D425" s="4" t="s">
        <v>130</v>
      </c>
      <c r="E425" s="4" t="s">
        <v>119</v>
      </c>
      <c r="F425" s="4" t="n">
        <v>8</v>
      </c>
      <c r="G425" s="4" t="s">
        <v>206</v>
      </c>
      <c r="H425" s="4" t="s">
        <v>205</v>
      </c>
      <c r="I425" s="4" t="n">
        <v>5</v>
      </c>
      <c r="J425" s="4" t="n">
        <v>4</v>
      </c>
      <c r="K425" s="4" t="n">
        <f aca="false">I425-J425</f>
        <v>1</v>
      </c>
    </row>
    <row r="426" customFormat="false" ht="15" hidden="false" customHeight="false" outlineLevel="0" collapsed="false">
      <c r="A426" s="4" t="s">
        <v>135</v>
      </c>
      <c r="B426" s="4" t="s">
        <v>136</v>
      </c>
      <c r="C426" s="4" t="s">
        <v>5</v>
      </c>
      <c r="D426" s="4" t="s">
        <v>130</v>
      </c>
      <c r="E426" s="4" t="s">
        <v>119</v>
      </c>
      <c r="F426" s="4" t="n">
        <v>9</v>
      </c>
      <c r="G426" s="4" t="s">
        <v>207</v>
      </c>
      <c r="H426" s="4" t="s">
        <v>208</v>
      </c>
      <c r="I426" s="4" t="n">
        <v>5</v>
      </c>
      <c r="J426" s="4" t="n">
        <v>4</v>
      </c>
      <c r="K426" s="4" t="n">
        <f aca="false">I426-J426</f>
        <v>1</v>
      </c>
    </row>
    <row r="427" customFormat="false" ht="15" hidden="false" customHeight="false" outlineLevel="0" collapsed="false">
      <c r="A427" s="4" t="s">
        <v>135</v>
      </c>
      <c r="B427" s="4" t="s">
        <v>136</v>
      </c>
      <c r="C427" s="4" t="s">
        <v>5</v>
      </c>
      <c r="D427" s="4" t="s">
        <v>130</v>
      </c>
      <c r="E427" s="4" t="s">
        <v>119</v>
      </c>
      <c r="F427" s="4" t="n">
        <v>10</v>
      </c>
      <c r="G427" s="4" t="s">
        <v>209</v>
      </c>
      <c r="H427" s="4" t="s">
        <v>208</v>
      </c>
      <c r="I427" s="4" t="n">
        <v>3</v>
      </c>
      <c r="J427" s="4" t="n">
        <v>4</v>
      </c>
      <c r="K427" s="4" t="n">
        <f aca="false">I427-J427</f>
        <v>-1</v>
      </c>
    </row>
    <row r="428" customFormat="false" ht="15" hidden="false" customHeight="false" outlineLevel="0" collapsed="false">
      <c r="A428" s="4" t="s">
        <v>135</v>
      </c>
      <c r="B428" s="4" t="s">
        <v>136</v>
      </c>
      <c r="C428" s="4" t="s">
        <v>5</v>
      </c>
      <c r="D428" s="4" t="s">
        <v>130</v>
      </c>
      <c r="E428" s="4" t="s">
        <v>119</v>
      </c>
      <c r="F428" s="4" t="n">
        <v>14</v>
      </c>
      <c r="G428" s="4" t="s">
        <v>199</v>
      </c>
      <c r="H428" s="4" t="s">
        <v>200</v>
      </c>
      <c r="I428" s="4" t="n">
        <v>4</v>
      </c>
      <c r="J428" s="4" t="n">
        <v>3</v>
      </c>
      <c r="K428" s="4" t="n">
        <f aca="false">I428-J428</f>
        <v>1</v>
      </c>
    </row>
    <row r="429" customFormat="false" ht="15" hidden="false" customHeight="false" outlineLevel="0" collapsed="false">
      <c r="A429" s="4" t="s">
        <v>137</v>
      </c>
      <c r="B429" s="4" t="s">
        <v>138</v>
      </c>
      <c r="C429" s="4" t="s">
        <v>8</v>
      </c>
      <c r="D429" s="4" t="s">
        <v>139</v>
      </c>
      <c r="E429" s="4" t="s">
        <v>32</v>
      </c>
      <c r="F429" s="4" t="n">
        <v>1</v>
      </c>
      <c r="G429" s="4" t="s">
        <v>191</v>
      </c>
      <c r="H429" s="4" t="s">
        <v>192</v>
      </c>
      <c r="I429" s="4" t="n">
        <v>5</v>
      </c>
      <c r="J429" s="4" t="n">
        <v>5</v>
      </c>
      <c r="K429" s="4" t="n">
        <f aca="false">I429-J429</f>
        <v>0</v>
      </c>
    </row>
    <row r="430" customFormat="false" ht="15" hidden="false" customHeight="false" outlineLevel="0" collapsed="false">
      <c r="A430" s="4" t="s">
        <v>137</v>
      </c>
      <c r="B430" s="4" t="s">
        <v>138</v>
      </c>
      <c r="C430" s="4" t="s">
        <v>8</v>
      </c>
      <c r="D430" s="4" t="s">
        <v>139</v>
      </c>
      <c r="E430" s="4" t="s">
        <v>32</v>
      </c>
      <c r="F430" s="4" t="n">
        <v>2</v>
      </c>
      <c r="G430" s="4" t="s">
        <v>193</v>
      </c>
      <c r="H430" s="4" t="s">
        <v>192</v>
      </c>
      <c r="I430" s="4" t="n">
        <v>4</v>
      </c>
      <c r="J430" s="4" t="n">
        <v>4</v>
      </c>
      <c r="K430" s="4" t="n">
        <f aca="false">I430-J430</f>
        <v>0</v>
      </c>
    </row>
    <row r="431" customFormat="false" ht="15" hidden="false" customHeight="false" outlineLevel="0" collapsed="false">
      <c r="A431" s="4" t="s">
        <v>137</v>
      </c>
      <c r="B431" s="4" t="s">
        <v>138</v>
      </c>
      <c r="C431" s="4" t="s">
        <v>8</v>
      </c>
      <c r="D431" s="4" t="s">
        <v>139</v>
      </c>
      <c r="E431" s="4" t="s">
        <v>32</v>
      </c>
      <c r="F431" s="4" t="n">
        <v>3</v>
      </c>
      <c r="G431" s="4" t="s">
        <v>194</v>
      </c>
      <c r="H431" s="4" t="s">
        <v>192</v>
      </c>
      <c r="I431" s="4" t="n">
        <v>4</v>
      </c>
      <c r="J431" s="4" t="n">
        <v>4</v>
      </c>
      <c r="K431" s="4" t="n">
        <f aca="false">I431-J431</f>
        <v>0</v>
      </c>
    </row>
    <row r="432" customFormat="false" ht="15" hidden="false" customHeight="false" outlineLevel="0" collapsed="false">
      <c r="A432" s="4" t="s">
        <v>137</v>
      </c>
      <c r="B432" s="4" t="s">
        <v>138</v>
      </c>
      <c r="C432" s="4" t="s">
        <v>8</v>
      </c>
      <c r="D432" s="4" t="s">
        <v>139</v>
      </c>
      <c r="E432" s="4" t="s">
        <v>32</v>
      </c>
      <c r="F432" s="4" t="n">
        <v>11</v>
      </c>
      <c r="G432" s="4" t="s">
        <v>195</v>
      </c>
      <c r="H432" s="4" t="s">
        <v>196</v>
      </c>
      <c r="I432" s="4" t="n">
        <v>5</v>
      </c>
      <c r="J432" s="4" t="n">
        <v>5</v>
      </c>
      <c r="K432" s="4" t="n">
        <f aca="false">I432-J432</f>
        <v>0</v>
      </c>
    </row>
    <row r="433" customFormat="false" ht="15" hidden="false" customHeight="false" outlineLevel="0" collapsed="false">
      <c r="A433" s="4" t="s">
        <v>137</v>
      </c>
      <c r="B433" s="4" t="s">
        <v>138</v>
      </c>
      <c r="C433" s="4" t="s">
        <v>8</v>
      </c>
      <c r="D433" s="4" t="s">
        <v>139</v>
      </c>
      <c r="E433" s="4" t="s">
        <v>32</v>
      </c>
      <c r="F433" s="4" t="n">
        <v>12</v>
      </c>
      <c r="G433" s="4" t="s">
        <v>197</v>
      </c>
      <c r="H433" s="4" t="s">
        <v>196</v>
      </c>
      <c r="I433" s="4" t="n">
        <v>4</v>
      </c>
      <c r="J433" s="4" t="n">
        <v>4</v>
      </c>
      <c r="K433" s="4" t="n">
        <f aca="false">I433-J433</f>
        <v>0</v>
      </c>
    </row>
    <row r="434" customFormat="false" ht="15" hidden="false" customHeight="false" outlineLevel="0" collapsed="false">
      <c r="A434" s="4" t="s">
        <v>137</v>
      </c>
      <c r="B434" s="4" t="s">
        <v>138</v>
      </c>
      <c r="C434" s="4" t="s">
        <v>8</v>
      </c>
      <c r="D434" s="4" t="s">
        <v>139</v>
      </c>
      <c r="E434" s="4" t="s">
        <v>32</v>
      </c>
      <c r="F434" s="4" t="n">
        <v>13</v>
      </c>
      <c r="G434" s="4" t="s">
        <v>198</v>
      </c>
      <c r="H434" s="4" t="s">
        <v>196</v>
      </c>
      <c r="I434" s="4" t="n">
        <v>5</v>
      </c>
      <c r="J434" s="4" t="n">
        <v>4</v>
      </c>
      <c r="K434" s="4" t="n">
        <f aca="false">I434-J434</f>
        <v>1</v>
      </c>
    </row>
    <row r="435" customFormat="false" ht="15" hidden="false" customHeight="false" outlineLevel="0" collapsed="false">
      <c r="A435" s="4" t="s">
        <v>137</v>
      </c>
      <c r="B435" s="4" t="s">
        <v>138</v>
      </c>
      <c r="C435" s="4" t="s">
        <v>8</v>
      </c>
      <c r="D435" s="4" t="s">
        <v>139</v>
      </c>
      <c r="E435" s="4" t="s">
        <v>32</v>
      </c>
      <c r="F435" s="4" t="n">
        <v>14</v>
      </c>
      <c r="G435" s="4" t="s">
        <v>199</v>
      </c>
      <c r="H435" s="4" t="s">
        <v>200</v>
      </c>
      <c r="I435" s="4" t="n">
        <v>5</v>
      </c>
      <c r="J435" s="4" t="n">
        <v>4</v>
      </c>
      <c r="K435" s="4" t="n">
        <f aca="false">I435-J435</f>
        <v>1</v>
      </c>
    </row>
    <row r="436" customFormat="false" ht="15" hidden="false" customHeight="false" outlineLevel="0" collapsed="false">
      <c r="A436" s="4" t="s">
        <v>140</v>
      </c>
      <c r="B436" s="4" t="s">
        <v>141</v>
      </c>
      <c r="C436" s="4" t="s">
        <v>6</v>
      </c>
      <c r="D436" s="4" t="s">
        <v>139</v>
      </c>
      <c r="E436" s="4" t="s">
        <v>32</v>
      </c>
      <c r="F436" s="4" t="n">
        <v>1</v>
      </c>
      <c r="G436" s="4" t="s">
        <v>191</v>
      </c>
      <c r="H436" s="4" t="s">
        <v>192</v>
      </c>
      <c r="I436" s="4" t="n">
        <v>5</v>
      </c>
      <c r="J436" s="4" t="n">
        <v>4</v>
      </c>
      <c r="K436" s="4" t="n">
        <f aca="false">I436-J436</f>
        <v>1</v>
      </c>
    </row>
    <row r="437" customFormat="false" ht="15" hidden="false" customHeight="false" outlineLevel="0" collapsed="false">
      <c r="A437" s="4" t="s">
        <v>140</v>
      </c>
      <c r="B437" s="4" t="s">
        <v>141</v>
      </c>
      <c r="C437" s="4" t="s">
        <v>6</v>
      </c>
      <c r="D437" s="4" t="s">
        <v>139</v>
      </c>
      <c r="E437" s="4" t="s">
        <v>32</v>
      </c>
      <c r="F437" s="4" t="n">
        <v>2</v>
      </c>
      <c r="G437" s="4" t="s">
        <v>193</v>
      </c>
      <c r="H437" s="4" t="s">
        <v>192</v>
      </c>
      <c r="I437" s="4" t="n">
        <v>3</v>
      </c>
      <c r="J437" s="4" t="n">
        <v>3</v>
      </c>
      <c r="K437" s="4" t="n">
        <f aca="false">I437-J437</f>
        <v>0</v>
      </c>
    </row>
    <row r="438" customFormat="false" ht="15" hidden="false" customHeight="false" outlineLevel="0" collapsed="false">
      <c r="A438" s="4" t="s">
        <v>140</v>
      </c>
      <c r="B438" s="4" t="s">
        <v>141</v>
      </c>
      <c r="C438" s="4" t="s">
        <v>6</v>
      </c>
      <c r="D438" s="4" t="s">
        <v>139</v>
      </c>
      <c r="E438" s="4" t="s">
        <v>32</v>
      </c>
      <c r="F438" s="4" t="n">
        <v>3</v>
      </c>
      <c r="G438" s="4" t="s">
        <v>194</v>
      </c>
      <c r="H438" s="4" t="s">
        <v>192</v>
      </c>
      <c r="I438" s="4" t="n">
        <v>5</v>
      </c>
      <c r="J438" s="4" t="n">
        <v>5</v>
      </c>
      <c r="K438" s="4" t="n">
        <f aca="false">I438-J438</f>
        <v>0</v>
      </c>
    </row>
    <row r="439" customFormat="false" ht="15" hidden="false" customHeight="false" outlineLevel="0" collapsed="false">
      <c r="A439" s="4" t="s">
        <v>140</v>
      </c>
      <c r="B439" s="4" t="s">
        <v>141</v>
      </c>
      <c r="C439" s="4" t="s">
        <v>6</v>
      </c>
      <c r="D439" s="4" t="s">
        <v>139</v>
      </c>
      <c r="E439" s="4" t="s">
        <v>32</v>
      </c>
      <c r="F439" s="4" t="n">
        <v>5</v>
      </c>
      <c r="G439" s="4" t="s">
        <v>201</v>
      </c>
      <c r="H439" s="4" t="s">
        <v>202</v>
      </c>
      <c r="I439" s="4" t="n">
        <v>3</v>
      </c>
      <c r="J439" s="4" t="n">
        <v>4</v>
      </c>
      <c r="K439" s="4" t="n">
        <f aca="false">I439-J439</f>
        <v>-1</v>
      </c>
    </row>
    <row r="440" customFormat="false" ht="15" hidden="false" customHeight="false" outlineLevel="0" collapsed="false">
      <c r="A440" s="4" t="s">
        <v>140</v>
      </c>
      <c r="B440" s="4" t="s">
        <v>141</v>
      </c>
      <c r="C440" s="4" t="s">
        <v>6</v>
      </c>
      <c r="D440" s="4" t="s">
        <v>139</v>
      </c>
      <c r="E440" s="4" t="s">
        <v>32</v>
      </c>
      <c r="F440" s="4" t="n">
        <v>7</v>
      </c>
      <c r="G440" s="4" t="s">
        <v>204</v>
      </c>
      <c r="H440" s="4" t="s">
        <v>205</v>
      </c>
      <c r="I440" s="4" t="n">
        <v>4</v>
      </c>
      <c r="J440" s="4" t="n">
        <v>4</v>
      </c>
      <c r="K440" s="4" t="n">
        <f aca="false">I440-J440</f>
        <v>0</v>
      </c>
    </row>
    <row r="441" customFormat="false" ht="15" hidden="false" customHeight="false" outlineLevel="0" collapsed="false">
      <c r="A441" s="4" t="s">
        <v>140</v>
      </c>
      <c r="B441" s="4" t="s">
        <v>141</v>
      </c>
      <c r="C441" s="4" t="s">
        <v>6</v>
      </c>
      <c r="D441" s="4" t="s">
        <v>139</v>
      </c>
      <c r="E441" s="4" t="s">
        <v>32</v>
      </c>
      <c r="F441" s="4" t="n">
        <v>9</v>
      </c>
      <c r="G441" s="4" t="s">
        <v>207</v>
      </c>
      <c r="H441" s="4" t="s">
        <v>208</v>
      </c>
      <c r="I441" s="4" t="n">
        <v>5</v>
      </c>
      <c r="J441" s="4" t="n">
        <v>5</v>
      </c>
      <c r="K441" s="4" t="n">
        <f aca="false">I441-J441</f>
        <v>0</v>
      </c>
    </row>
    <row r="442" customFormat="false" ht="15" hidden="false" customHeight="false" outlineLevel="0" collapsed="false">
      <c r="A442" s="4" t="s">
        <v>140</v>
      </c>
      <c r="B442" s="4" t="s">
        <v>141</v>
      </c>
      <c r="C442" s="4" t="s">
        <v>6</v>
      </c>
      <c r="D442" s="4" t="s">
        <v>139</v>
      </c>
      <c r="E442" s="4" t="s">
        <v>32</v>
      </c>
      <c r="F442" s="4" t="n">
        <v>14</v>
      </c>
      <c r="G442" s="4" t="s">
        <v>199</v>
      </c>
      <c r="H442" s="4" t="s">
        <v>200</v>
      </c>
      <c r="I442" s="4" t="n">
        <v>3</v>
      </c>
      <c r="J442" s="4" t="n">
        <v>3</v>
      </c>
      <c r="K442" s="4" t="n">
        <f aca="false">I442-J442</f>
        <v>0</v>
      </c>
    </row>
    <row r="443" customFormat="false" ht="15" hidden="false" customHeight="false" outlineLevel="0" collapsed="false">
      <c r="A443" s="4" t="s">
        <v>142</v>
      </c>
      <c r="B443" s="4" t="s">
        <v>143</v>
      </c>
      <c r="C443" s="4" t="s">
        <v>6</v>
      </c>
      <c r="D443" s="4" t="s">
        <v>139</v>
      </c>
      <c r="E443" s="4" t="s">
        <v>32</v>
      </c>
      <c r="F443" s="4" t="n">
        <v>1</v>
      </c>
      <c r="G443" s="4" t="s">
        <v>191</v>
      </c>
      <c r="H443" s="4" t="s">
        <v>192</v>
      </c>
      <c r="I443" s="4" t="n">
        <v>3</v>
      </c>
      <c r="J443" s="4" t="n">
        <v>4</v>
      </c>
      <c r="K443" s="4" t="n">
        <f aca="false">I443-J443</f>
        <v>-1</v>
      </c>
    </row>
    <row r="444" customFormat="false" ht="15" hidden="false" customHeight="false" outlineLevel="0" collapsed="false">
      <c r="A444" s="4" t="s">
        <v>142</v>
      </c>
      <c r="B444" s="4" t="s">
        <v>143</v>
      </c>
      <c r="C444" s="4" t="s">
        <v>6</v>
      </c>
      <c r="D444" s="4" t="s">
        <v>139</v>
      </c>
      <c r="E444" s="4" t="s">
        <v>32</v>
      </c>
      <c r="F444" s="4" t="n">
        <v>2</v>
      </c>
      <c r="G444" s="4" t="s">
        <v>193</v>
      </c>
      <c r="H444" s="4" t="s">
        <v>192</v>
      </c>
      <c r="I444" s="4" t="n">
        <v>3</v>
      </c>
      <c r="J444" s="4" t="n">
        <v>4</v>
      </c>
      <c r="K444" s="4" t="n">
        <f aca="false">I444-J444</f>
        <v>-1</v>
      </c>
    </row>
    <row r="445" customFormat="false" ht="15" hidden="false" customHeight="false" outlineLevel="0" collapsed="false">
      <c r="A445" s="4" t="s">
        <v>142</v>
      </c>
      <c r="B445" s="4" t="s">
        <v>143</v>
      </c>
      <c r="C445" s="4" t="s">
        <v>6</v>
      </c>
      <c r="D445" s="4" t="s">
        <v>139</v>
      </c>
      <c r="E445" s="4" t="s">
        <v>32</v>
      </c>
      <c r="F445" s="4" t="n">
        <v>3</v>
      </c>
      <c r="G445" s="4" t="s">
        <v>194</v>
      </c>
      <c r="H445" s="4" t="s">
        <v>192</v>
      </c>
      <c r="I445" s="4" t="n">
        <v>5</v>
      </c>
      <c r="J445" s="4" t="n">
        <v>4</v>
      </c>
      <c r="K445" s="4" t="n">
        <f aca="false">I445-J445</f>
        <v>1</v>
      </c>
    </row>
    <row r="446" customFormat="false" ht="15" hidden="false" customHeight="false" outlineLevel="0" collapsed="false">
      <c r="A446" s="4" t="s">
        <v>142</v>
      </c>
      <c r="B446" s="4" t="s">
        <v>143</v>
      </c>
      <c r="C446" s="4" t="s">
        <v>6</v>
      </c>
      <c r="D446" s="4" t="s">
        <v>139</v>
      </c>
      <c r="E446" s="4" t="s">
        <v>32</v>
      </c>
      <c r="F446" s="4" t="n">
        <v>5</v>
      </c>
      <c r="G446" s="4" t="s">
        <v>201</v>
      </c>
      <c r="H446" s="4" t="s">
        <v>202</v>
      </c>
      <c r="I446" s="4" t="n">
        <v>5</v>
      </c>
      <c r="J446" s="4" t="n">
        <v>4</v>
      </c>
      <c r="K446" s="4" t="n">
        <f aca="false">I446-J446</f>
        <v>1</v>
      </c>
    </row>
    <row r="447" customFormat="false" ht="15" hidden="false" customHeight="false" outlineLevel="0" collapsed="false">
      <c r="A447" s="4" t="s">
        <v>142</v>
      </c>
      <c r="B447" s="4" t="s">
        <v>143</v>
      </c>
      <c r="C447" s="4" t="s">
        <v>6</v>
      </c>
      <c r="D447" s="4" t="s">
        <v>139</v>
      </c>
      <c r="E447" s="4" t="s">
        <v>32</v>
      </c>
      <c r="F447" s="4" t="n">
        <v>7</v>
      </c>
      <c r="G447" s="4" t="s">
        <v>204</v>
      </c>
      <c r="H447" s="4" t="s">
        <v>205</v>
      </c>
      <c r="I447" s="4" t="n">
        <v>5</v>
      </c>
      <c r="J447" s="4" t="n">
        <v>4</v>
      </c>
      <c r="K447" s="4" t="n">
        <f aca="false">I447-J447</f>
        <v>1</v>
      </c>
    </row>
    <row r="448" customFormat="false" ht="15" hidden="false" customHeight="false" outlineLevel="0" collapsed="false">
      <c r="A448" s="4" t="s">
        <v>142</v>
      </c>
      <c r="B448" s="4" t="s">
        <v>143</v>
      </c>
      <c r="C448" s="4" t="s">
        <v>6</v>
      </c>
      <c r="D448" s="4" t="s">
        <v>139</v>
      </c>
      <c r="E448" s="4" t="s">
        <v>32</v>
      </c>
      <c r="F448" s="4" t="n">
        <v>9</v>
      </c>
      <c r="G448" s="4" t="s">
        <v>207</v>
      </c>
      <c r="H448" s="4" t="s">
        <v>208</v>
      </c>
      <c r="I448" s="4" t="n">
        <v>2</v>
      </c>
      <c r="J448" s="4" t="n">
        <v>3</v>
      </c>
      <c r="K448" s="4" t="n">
        <f aca="false">I448-J448</f>
        <v>-1</v>
      </c>
    </row>
    <row r="449" customFormat="false" ht="15" hidden="false" customHeight="false" outlineLevel="0" collapsed="false">
      <c r="A449" s="4" t="s">
        <v>142</v>
      </c>
      <c r="B449" s="4" t="s">
        <v>143</v>
      </c>
      <c r="C449" s="4" t="s">
        <v>6</v>
      </c>
      <c r="D449" s="4" t="s">
        <v>139</v>
      </c>
      <c r="E449" s="4" t="s">
        <v>32</v>
      </c>
      <c r="F449" s="4" t="n">
        <v>14</v>
      </c>
      <c r="G449" s="4" t="s">
        <v>199</v>
      </c>
      <c r="H449" s="4" t="s">
        <v>200</v>
      </c>
      <c r="I449" s="4" t="n">
        <v>4</v>
      </c>
      <c r="J449" s="4" t="n">
        <v>3</v>
      </c>
      <c r="K449" s="4" t="n">
        <f aca="false">I449-J449</f>
        <v>1</v>
      </c>
    </row>
    <row r="450" customFormat="false" ht="15" hidden="false" customHeight="false" outlineLevel="0" collapsed="false">
      <c r="A450" s="4" t="s">
        <v>144</v>
      </c>
      <c r="B450" s="4" t="s">
        <v>145</v>
      </c>
      <c r="C450" s="4" t="s">
        <v>6</v>
      </c>
      <c r="D450" s="4" t="s">
        <v>139</v>
      </c>
      <c r="E450" s="4" t="s">
        <v>32</v>
      </c>
      <c r="F450" s="4" t="n">
        <v>1</v>
      </c>
      <c r="G450" s="4" t="s">
        <v>191</v>
      </c>
      <c r="H450" s="4" t="s">
        <v>192</v>
      </c>
      <c r="I450" s="4" t="n">
        <v>3</v>
      </c>
      <c r="J450" s="4" t="n">
        <v>4</v>
      </c>
      <c r="K450" s="4" t="n">
        <f aca="false">I450-J450</f>
        <v>-1</v>
      </c>
    </row>
    <row r="451" customFormat="false" ht="15" hidden="false" customHeight="false" outlineLevel="0" collapsed="false">
      <c r="A451" s="4" t="s">
        <v>144</v>
      </c>
      <c r="B451" s="4" t="s">
        <v>145</v>
      </c>
      <c r="C451" s="4" t="s">
        <v>6</v>
      </c>
      <c r="D451" s="4" t="s">
        <v>139</v>
      </c>
      <c r="E451" s="4" t="s">
        <v>32</v>
      </c>
      <c r="F451" s="4" t="n">
        <v>2</v>
      </c>
      <c r="G451" s="4" t="s">
        <v>193</v>
      </c>
      <c r="H451" s="4" t="s">
        <v>192</v>
      </c>
      <c r="I451" s="4" t="n">
        <v>4</v>
      </c>
      <c r="J451" s="4" t="n">
        <v>5</v>
      </c>
      <c r="K451" s="4" t="n">
        <f aca="false">I451-J451</f>
        <v>-1</v>
      </c>
    </row>
    <row r="452" customFormat="false" ht="15" hidden="false" customHeight="false" outlineLevel="0" collapsed="false">
      <c r="A452" s="4" t="s">
        <v>144</v>
      </c>
      <c r="B452" s="4" t="s">
        <v>145</v>
      </c>
      <c r="C452" s="4" t="s">
        <v>6</v>
      </c>
      <c r="D452" s="4" t="s">
        <v>139</v>
      </c>
      <c r="E452" s="4" t="s">
        <v>32</v>
      </c>
      <c r="F452" s="4" t="n">
        <v>3</v>
      </c>
      <c r="G452" s="4" t="s">
        <v>194</v>
      </c>
      <c r="H452" s="4" t="s">
        <v>192</v>
      </c>
      <c r="I452" s="4" t="n">
        <v>5</v>
      </c>
      <c r="J452" s="4" t="n">
        <v>5</v>
      </c>
      <c r="K452" s="4" t="n">
        <f aca="false">I452-J452</f>
        <v>0</v>
      </c>
    </row>
    <row r="453" customFormat="false" ht="15" hidden="false" customHeight="false" outlineLevel="0" collapsed="false">
      <c r="A453" s="4" t="s">
        <v>144</v>
      </c>
      <c r="B453" s="4" t="s">
        <v>145</v>
      </c>
      <c r="C453" s="4" t="s">
        <v>6</v>
      </c>
      <c r="D453" s="4" t="s">
        <v>139</v>
      </c>
      <c r="E453" s="4" t="s">
        <v>32</v>
      </c>
      <c r="F453" s="4" t="n">
        <v>5</v>
      </c>
      <c r="G453" s="4" t="s">
        <v>201</v>
      </c>
      <c r="H453" s="4" t="s">
        <v>202</v>
      </c>
      <c r="I453" s="4" t="n">
        <v>5</v>
      </c>
      <c r="J453" s="4" t="n">
        <v>5</v>
      </c>
      <c r="K453" s="4" t="n">
        <f aca="false">I453-J453</f>
        <v>0</v>
      </c>
    </row>
    <row r="454" customFormat="false" ht="15" hidden="false" customHeight="false" outlineLevel="0" collapsed="false">
      <c r="A454" s="4" t="s">
        <v>144</v>
      </c>
      <c r="B454" s="4" t="s">
        <v>145</v>
      </c>
      <c r="C454" s="4" t="s">
        <v>6</v>
      </c>
      <c r="D454" s="4" t="s">
        <v>139</v>
      </c>
      <c r="E454" s="4" t="s">
        <v>32</v>
      </c>
      <c r="F454" s="4" t="n">
        <v>7</v>
      </c>
      <c r="G454" s="4" t="s">
        <v>204</v>
      </c>
      <c r="H454" s="4" t="s">
        <v>205</v>
      </c>
      <c r="I454" s="4" t="n">
        <v>3</v>
      </c>
      <c r="J454" s="4" t="n">
        <v>4</v>
      </c>
      <c r="K454" s="4" t="n">
        <f aca="false">I454-J454</f>
        <v>-1</v>
      </c>
    </row>
    <row r="455" customFormat="false" ht="15" hidden="false" customHeight="false" outlineLevel="0" collapsed="false">
      <c r="A455" s="4" t="s">
        <v>144</v>
      </c>
      <c r="B455" s="4" t="s">
        <v>145</v>
      </c>
      <c r="C455" s="4" t="s">
        <v>6</v>
      </c>
      <c r="D455" s="4" t="s">
        <v>139</v>
      </c>
      <c r="E455" s="4" t="s">
        <v>32</v>
      </c>
      <c r="F455" s="4" t="n">
        <v>9</v>
      </c>
      <c r="G455" s="4" t="s">
        <v>207</v>
      </c>
      <c r="H455" s="4" t="s">
        <v>208</v>
      </c>
      <c r="I455" s="4" t="n">
        <v>4</v>
      </c>
      <c r="J455" s="4" t="n">
        <v>5</v>
      </c>
      <c r="K455" s="4" t="n">
        <f aca="false">I455-J455</f>
        <v>-1</v>
      </c>
    </row>
    <row r="456" customFormat="false" ht="15" hidden="false" customHeight="false" outlineLevel="0" collapsed="false">
      <c r="A456" s="4" t="s">
        <v>144</v>
      </c>
      <c r="B456" s="4" t="s">
        <v>145</v>
      </c>
      <c r="C456" s="4" t="s">
        <v>6</v>
      </c>
      <c r="D456" s="4" t="s">
        <v>139</v>
      </c>
      <c r="E456" s="4" t="s">
        <v>32</v>
      </c>
      <c r="F456" s="4" t="n">
        <v>14</v>
      </c>
      <c r="G456" s="4" t="s">
        <v>199</v>
      </c>
      <c r="H456" s="4" t="s">
        <v>200</v>
      </c>
      <c r="I456" s="4" t="n">
        <v>5</v>
      </c>
      <c r="J456" s="4" t="n">
        <v>4</v>
      </c>
      <c r="K456" s="4" t="n">
        <f aca="false">I456-J456</f>
        <v>1</v>
      </c>
    </row>
    <row r="457" customFormat="false" ht="15" hidden="false" customHeight="false" outlineLevel="0" collapsed="false">
      <c r="A457" s="4" t="s">
        <v>146</v>
      </c>
      <c r="B457" s="4" t="s">
        <v>147</v>
      </c>
      <c r="C457" s="4" t="s">
        <v>6</v>
      </c>
      <c r="D457" s="4" t="s">
        <v>139</v>
      </c>
      <c r="E457" s="4" t="s">
        <v>32</v>
      </c>
      <c r="F457" s="4" t="n">
        <v>1</v>
      </c>
      <c r="G457" s="4" t="s">
        <v>191</v>
      </c>
      <c r="H457" s="4" t="s">
        <v>192</v>
      </c>
      <c r="I457" s="4" t="n">
        <v>3</v>
      </c>
      <c r="J457" s="4" t="n">
        <v>3</v>
      </c>
      <c r="K457" s="4" t="n">
        <f aca="false">I457-J457</f>
        <v>0</v>
      </c>
    </row>
    <row r="458" customFormat="false" ht="15" hidden="false" customHeight="false" outlineLevel="0" collapsed="false">
      <c r="A458" s="4" t="s">
        <v>146</v>
      </c>
      <c r="B458" s="4" t="s">
        <v>147</v>
      </c>
      <c r="C458" s="4" t="s">
        <v>6</v>
      </c>
      <c r="D458" s="4" t="s">
        <v>139</v>
      </c>
      <c r="E458" s="4" t="s">
        <v>32</v>
      </c>
      <c r="F458" s="4" t="n">
        <v>2</v>
      </c>
      <c r="G458" s="4" t="s">
        <v>193</v>
      </c>
      <c r="H458" s="4" t="s">
        <v>192</v>
      </c>
      <c r="I458" s="4" t="n">
        <v>5</v>
      </c>
      <c r="J458" s="4" t="n">
        <v>4</v>
      </c>
      <c r="K458" s="4" t="n">
        <f aca="false">I458-J458</f>
        <v>1</v>
      </c>
    </row>
    <row r="459" customFormat="false" ht="15" hidden="false" customHeight="false" outlineLevel="0" collapsed="false">
      <c r="A459" s="4" t="s">
        <v>146</v>
      </c>
      <c r="B459" s="4" t="s">
        <v>147</v>
      </c>
      <c r="C459" s="4" t="s">
        <v>6</v>
      </c>
      <c r="D459" s="4" t="s">
        <v>139</v>
      </c>
      <c r="E459" s="4" t="s">
        <v>32</v>
      </c>
      <c r="F459" s="4" t="n">
        <v>3</v>
      </c>
      <c r="G459" s="4" t="s">
        <v>194</v>
      </c>
      <c r="H459" s="4" t="s">
        <v>192</v>
      </c>
      <c r="I459" s="4" t="n">
        <v>2</v>
      </c>
      <c r="J459" s="4" t="n">
        <v>3</v>
      </c>
      <c r="K459" s="4" t="n">
        <f aca="false">I459-J459</f>
        <v>-1</v>
      </c>
    </row>
    <row r="460" customFormat="false" ht="15" hidden="false" customHeight="false" outlineLevel="0" collapsed="false">
      <c r="A460" s="4" t="s">
        <v>146</v>
      </c>
      <c r="B460" s="4" t="s">
        <v>147</v>
      </c>
      <c r="C460" s="4" t="s">
        <v>6</v>
      </c>
      <c r="D460" s="4" t="s">
        <v>139</v>
      </c>
      <c r="E460" s="4" t="s">
        <v>32</v>
      </c>
      <c r="F460" s="4" t="n">
        <v>5</v>
      </c>
      <c r="G460" s="4" t="s">
        <v>201</v>
      </c>
      <c r="H460" s="4" t="s">
        <v>202</v>
      </c>
      <c r="I460" s="4" t="n">
        <v>4</v>
      </c>
      <c r="J460" s="4" t="n">
        <v>3</v>
      </c>
      <c r="K460" s="4" t="n">
        <f aca="false">I460-J460</f>
        <v>1</v>
      </c>
    </row>
    <row r="461" customFormat="false" ht="15" hidden="false" customHeight="false" outlineLevel="0" collapsed="false">
      <c r="A461" s="4" t="s">
        <v>146</v>
      </c>
      <c r="B461" s="4" t="s">
        <v>147</v>
      </c>
      <c r="C461" s="4" t="s">
        <v>6</v>
      </c>
      <c r="D461" s="4" t="s">
        <v>139</v>
      </c>
      <c r="E461" s="4" t="s">
        <v>32</v>
      </c>
      <c r="F461" s="4" t="n">
        <v>7</v>
      </c>
      <c r="G461" s="4" t="s">
        <v>204</v>
      </c>
      <c r="H461" s="4" t="s">
        <v>205</v>
      </c>
      <c r="I461" s="4" t="n">
        <v>3</v>
      </c>
      <c r="J461" s="4" t="n">
        <v>3</v>
      </c>
      <c r="K461" s="4" t="n">
        <f aca="false">I461-J461</f>
        <v>0</v>
      </c>
    </row>
    <row r="462" customFormat="false" ht="15" hidden="false" customHeight="false" outlineLevel="0" collapsed="false">
      <c r="A462" s="4" t="s">
        <v>146</v>
      </c>
      <c r="B462" s="4" t="s">
        <v>147</v>
      </c>
      <c r="C462" s="4" t="s">
        <v>6</v>
      </c>
      <c r="D462" s="4" t="s">
        <v>139</v>
      </c>
      <c r="E462" s="4" t="s">
        <v>32</v>
      </c>
      <c r="F462" s="4" t="n">
        <v>9</v>
      </c>
      <c r="G462" s="4" t="s">
        <v>207</v>
      </c>
      <c r="H462" s="4" t="s">
        <v>208</v>
      </c>
      <c r="I462" s="4" t="n">
        <v>3</v>
      </c>
      <c r="J462" s="4" t="n">
        <v>4</v>
      </c>
      <c r="K462" s="4" t="n">
        <f aca="false">I462-J462</f>
        <v>-1</v>
      </c>
    </row>
    <row r="463" customFormat="false" ht="15" hidden="false" customHeight="false" outlineLevel="0" collapsed="false">
      <c r="A463" s="4" t="s">
        <v>146</v>
      </c>
      <c r="B463" s="4" t="s">
        <v>147</v>
      </c>
      <c r="C463" s="4" t="s">
        <v>6</v>
      </c>
      <c r="D463" s="4" t="s">
        <v>139</v>
      </c>
      <c r="E463" s="4" t="s">
        <v>32</v>
      </c>
      <c r="F463" s="4" t="n">
        <v>14</v>
      </c>
      <c r="G463" s="4" t="s">
        <v>199</v>
      </c>
      <c r="H463" s="4" t="s">
        <v>200</v>
      </c>
      <c r="I463" s="4" t="n">
        <v>3</v>
      </c>
      <c r="J463" s="4" t="n">
        <v>3</v>
      </c>
      <c r="K463" s="4" t="n">
        <f aca="false">I463-J463</f>
        <v>0</v>
      </c>
    </row>
    <row r="464" customFormat="false" ht="15" hidden="false" customHeight="false" outlineLevel="0" collapsed="false">
      <c r="A464" s="4" t="s">
        <v>148</v>
      </c>
      <c r="B464" s="4" t="s">
        <v>149</v>
      </c>
      <c r="C464" s="4" t="s">
        <v>6</v>
      </c>
      <c r="D464" s="4" t="s">
        <v>139</v>
      </c>
      <c r="E464" s="4" t="s">
        <v>32</v>
      </c>
      <c r="F464" s="4" t="n">
        <v>1</v>
      </c>
      <c r="G464" s="4" t="s">
        <v>191</v>
      </c>
      <c r="H464" s="4" t="s">
        <v>192</v>
      </c>
      <c r="I464" s="4" t="n">
        <v>4</v>
      </c>
      <c r="J464" s="4" t="n">
        <v>4</v>
      </c>
      <c r="K464" s="4" t="n">
        <f aca="false">I464-J464</f>
        <v>0</v>
      </c>
    </row>
    <row r="465" customFormat="false" ht="15" hidden="false" customHeight="false" outlineLevel="0" collapsed="false">
      <c r="A465" s="4" t="s">
        <v>148</v>
      </c>
      <c r="B465" s="4" t="s">
        <v>149</v>
      </c>
      <c r="C465" s="4" t="s">
        <v>6</v>
      </c>
      <c r="D465" s="4" t="s">
        <v>139</v>
      </c>
      <c r="E465" s="4" t="s">
        <v>32</v>
      </c>
      <c r="F465" s="4" t="n">
        <v>2</v>
      </c>
      <c r="G465" s="4" t="s">
        <v>193</v>
      </c>
      <c r="H465" s="4" t="s">
        <v>192</v>
      </c>
      <c r="I465" s="4" t="n">
        <v>5</v>
      </c>
      <c r="J465" s="4" t="n">
        <v>5</v>
      </c>
      <c r="K465" s="4" t="n">
        <f aca="false">I465-J465</f>
        <v>0</v>
      </c>
    </row>
    <row r="466" customFormat="false" ht="15" hidden="false" customHeight="false" outlineLevel="0" collapsed="false">
      <c r="A466" s="4" t="s">
        <v>148</v>
      </c>
      <c r="B466" s="4" t="s">
        <v>149</v>
      </c>
      <c r="C466" s="4" t="s">
        <v>6</v>
      </c>
      <c r="D466" s="4" t="s">
        <v>139</v>
      </c>
      <c r="E466" s="4" t="s">
        <v>32</v>
      </c>
      <c r="F466" s="4" t="n">
        <v>3</v>
      </c>
      <c r="G466" s="4" t="s">
        <v>194</v>
      </c>
      <c r="H466" s="4" t="s">
        <v>192</v>
      </c>
      <c r="I466" s="4" t="n">
        <v>5</v>
      </c>
      <c r="J466" s="4" t="n">
        <v>5</v>
      </c>
      <c r="K466" s="4" t="n">
        <f aca="false">I466-J466</f>
        <v>0</v>
      </c>
    </row>
    <row r="467" customFormat="false" ht="15" hidden="false" customHeight="false" outlineLevel="0" collapsed="false">
      <c r="A467" s="4" t="s">
        <v>148</v>
      </c>
      <c r="B467" s="4" t="s">
        <v>149</v>
      </c>
      <c r="C467" s="4" t="s">
        <v>6</v>
      </c>
      <c r="D467" s="4" t="s">
        <v>139</v>
      </c>
      <c r="E467" s="4" t="s">
        <v>32</v>
      </c>
      <c r="F467" s="4" t="n">
        <v>5</v>
      </c>
      <c r="G467" s="4" t="s">
        <v>201</v>
      </c>
      <c r="H467" s="4" t="s">
        <v>202</v>
      </c>
      <c r="I467" s="4" t="n">
        <v>3</v>
      </c>
      <c r="J467" s="4" t="n">
        <v>4</v>
      </c>
      <c r="K467" s="4" t="n">
        <f aca="false">I467-J467</f>
        <v>-1</v>
      </c>
    </row>
    <row r="468" customFormat="false" ht="15" hidden="false" customHeight="false" outlineLevel="0" collapsed="false">
      <c r="A468" s="4" t="s">
        <v>148</v>
      </c>
      <c r="B468" s="4" t="s">
        <v>149</v>
      </c>
      <c r="C468" s="4" t="s">
        <v>6</v>
      </c>
      <c r="D468" s="4" t="s">
        <v>139</v>
      </c>
      <c r="E468" s="4" t="s">
        <v>32</v>
      </c>
      <c r="F468" s="4" t="n">
        <v>7</v>
      </c>
      <c r="G468" s="4" t="s">
        <v>204</v>
      </c>
      <c r="H468" s="4" t="s">
        <v>205</v>
      </c>
      <c r="I468" s="4" t="n">
        <v>5</v>
      </c>
      <c r="J468" s="4" t="n">
        <v>5</v>
      </c>
      <c r="K468" s="4" t="n">
        <f aca="false">I468-J468</f>
        <v>0</v>
      </c>
    </row>
    <row r="469" customFormat="false" ht="15" hidden="false" customHeight="false" outlineLevel="0" collapsed="false">
      <c r="A469" s="4" t="s">
        <v>148</v>
      </c>
      <c r="B469" s="4" t="s">
        <v>149</v>
      </c>
      <c r="C469" s="4" t="s">
        <v>6</v>
      </c>
      <c r="D469" s="4" t="s">
        <v>139</v>
      </c>
      <c r="E469" s="4" t="s">
        <v>32</v>
      </c>
      <c r="F469" s="4" t="n">
        <v>9</v>
      </c>
      <c r="G469" s="4" t="s">
        <v>207</v>
      </c>
      <c r="H469" s="4" t="s">
        <v>208</v>
      </c>
      <c r="I469" s="4" t="n">
        <v>5</v>
      </c>
      <c r="J469" s="4" t="n">
        <v>5</v>
      </c>
      <c r="K469" s="4" t="n">
        <f aca="false">I469-J469</f>
        <v>0</v>
      </c>
    </row>
    <row r="470" customFormat="false" ht="15" hidden="false" customHeight="false" outlineLevel="0" collapsed="false">
      <c r="A470" s="4" t="s">
        <v>148</v>
      </c>
      <c r="B470" s="4" t="s">
        <v>149</v>
      </c>
      <c r="C470" s="4" t="s">
        <v>6</v>
      </c>
      <c r="D470" s="4" t="s">
        <v>139</v>
      </c>
      <c r="E470" s="4" t="s">
        <v>32</v>
      </c>
      <c r="F470" s="4" t="n">
        <v>14</v>
      </c>
      <c r="G470" s="4" t="s">
        <v>199</v>
      </c>
      <c r="H470" s="4" t="s">
        <v>200</v>
      </c>
      <c r="I470" s="4" t="n">
        <v>4</v>
      </c>
      <c r="J470" s="4" t="n">
        <v>4</v>
      </c>
      <c r="K470" s="4" t="n">
        <f aca="false">I470-J470</f>
        <v>0</v>
      </c>
    </row>
    <row r="471" customFormat="false" ht="15" hidden="false" customHeight="false" outlineLevel="0" collapsed="false">
      <c r="A471" s="4" t="s">
        <v>150</v>
      </c>
      <c r="B471" s="4" t="s">
        <v>151</v>
      </c>
      <c r="C471" s="4" t="s">
        <v>6</v>
      </c>
      <c r="D471" s="4" t="s">
        <v>139</v>
      </c>
      <c r="E471" s="4" t="s">
        <v>32</v>
      </c>
      <c r="F471" s="4" t="n">
        <v>1</v>
      </c>
      <c r="G471" s="4" t="s">
        <v>191</v>
      </c>
      <c r="H471" s="4" t="s">
        <v>192</v>
      </c>
      <c r="I471" s="4" t="n">
        <v>5</v>
      </c>
      <c r="J471" s="4" t="n">
        <v>5</v>
      </c>
      <c r="K471" s="4" t="n">
        <f aca="false">I471-J471</f>
        <v>0</v>
      </c>
    </row>
    <row r="472" customFormat="false" ht="15" hidden="false" customHeight="false" outlineLevel="0" collapsed="false">
      <c r="A472" s="4" t="s">
        <v>150</v>
      </c>
      <c r="B472" s="4" t="s">
        <v>151</v>
      </c>
      <c r="C472" s="4" t="s">
        <v>6</v>
      </c>
      <c r="D472" s="4" t="s">
        <v>139</v>
      </c>
      <c r="E472" s="4" t="s">
        <v>32</v>
      </c>
      <c r="F472" s="4" t="n">
        <v>2</v>
      </c>
      <c r="G472" s="4" t="s">
        <v>193</v>
      </c>
      <c r="H472" s="4" t="s">
        <v>192</v>
      </c>
      <c r="I472" s="4" t="n">
        <v>5</v>
      </c>
      <c r="J472" s="4" t="n">
        <v>5</v>
      </c>
      <c r="K472" s="4" t="n">
        <f aca="false">I472-J472</f>
        <v>0</v>
      </c>
    </row>
    <row r="473" customFormat="false" ht="15" hidden="false" customHeight="false" outlineLevel="0" collapsed="false">
      <c r="A473" s="4" t="s">
        <v>150</v>
      </c>
      <c r="B473" s="4" t="s">
        <v>151</v>
      </c>
      <c r="C473" s="4" t="s">
        <v>6</v>
      </c>
      <c r="D473" s="4" t="s">
        <v>139</v>
      </c>
      <c r="E473" s="4" t="s">
        <v>32</v>
      </c>
      <c r="F473" s="4" t="n">
        <v>3</v>
      </c>
      <c r="G473" s="4" t="s">
        <v>194</v>
      </c>
      <c r="H473" s="4" t="s">
        <v>192</v>
      </c>
      <c r="I473" s="4" t="n">
        <v>5</v>
      </c>
      <c r="J473" s="4" t="n">
        <v>5</v>
      </c>
      <c r="K473" s="4" t="n">
        <f aca="false">I473-J473</f>
        <v>0</v>
      </c>
    </row>
    <row r="474" customFormat="false" ht="15" hidden="false" customHeight="false" outlineLevel="0" collapsed="false">
      <c r="A474" s="4" t="s">
        <v>150</v>
      </c>
      <c r="B474" s="4" t="s">
        <v>151</v>
      </c>
      <c r="C474" s="4" t="s">
        <v>6</v>
      </c>
      <c r="D474" s="4" t="s">
        <v>139</v>
      </c>
      <c r="E474" s="4" t="s">
        <v>32</v>
      </c>
      <c r="F474" s="4" t="n">
        <v>5</v>
      </c>
      <c r="G474" s="4" t="s">
        <v>201</v>
      </c>
      <c r="H474" s="4" t="s">
        <v>202</v>
      </c>
      <c r="I474" s="4" t="n">
        <v>5</v>
      </c>
      <c r="J474" s="4" t="n">
        <v>5</v>
      </c>
      <c r="K474" s="4" t="n">
        <f aca="false">I474-J474</f>
        <v>0</v>
      </c>
    </row>
    <row r="475" customFormat="false" ht="15" hidden="false" customHeight="false" outlineLevel="0" collapsed="false">
      <c r="A475" s="4" t="s">
        <v>150</v>
      </c>
      <c r="B475" s="4" t="s">
        <v>151</v>
      </c>
      <c r="C475" s="4" t="s">
        <v>6</v>
      </c>
      <c r="D475" s="4" t="s">
        <v>139</v>
      </c>
      <c r="E475" s="4" t="s">
        <v>32</v>
      </c>
      <c r="F475" s="4" t="n">
        <v>7</v>
      </c>
      <c r="G475" s="4" t="s">
        <v>204</v>
      </c>
      <c r="H475" s="4" t="s">
        <v>205</v>
      </c>
      <c r="I475" s="4" t="n">
        <v>4</v>
      </c>
      <c r="J475" s="4" t="n">
        <v>4</v>
      </c>
      <c r="K475" s="4" t="n">
        <f aca="false">I475-J475</f>
        <v>0</v>
      </c>
    </row>
    <row r="476" customFormat="false" ht="15" hidden="false" customHeight="false" outlineLevel="0" collapsed="false">
      <c r="A476" s="4" t="s">
        <v>150</v>
      </c>
      <c r="B476" s="4" t="s">
        <v>151</v>
      </c>
      <c r="C476" s="4" t="s">
        <v>6</v>
      </c>
      <c r="D476" s="4" t="s">
        <v>139</v>
      </c>
      <c r="E476" s="4" t="s">
        <v>32</v>
      </c>
      <c r="F476" s="4" t="n">
        <v>9</v>
      </c>
      <c r="G476" s="4" t="s">
        <v>207</v>
      </c>
      <c r="H476" s="4" t="s">
        <v>208</v>
      </c>
      <c r="I476" s="4" t="n">
        <v>5</v>
      </c>
      <c r="J476" s="4" t="n">
        <v>5</v>
      </c>
      <c r="K476" s="4" t="n">
        <f aca="false">I476-J476</f>
        <v>0</v>
      </c>
    </row>
    <row r="477" customFormat="false" ht="15" hidden="false" customHeight="false" outlineLevel="0" collapsed="false">
      <c r="A477" s="4" t="s">
        <v>150</v>
      </c>
      <c r="B477" s="4" t="s">
        <v>151</v>
      </c>
      <c r="C477" s="4" t="s">
        <v>6</v>
      </c>
      <c r="D477" s="4" t="s">
        <v>139</v>
      </c>
      <c r="E477" s="4" t="s">
        <v>32</v>
      </c>
      <c r="F477" s="4" t="n">
        <v>14</v>
      </c>
      <c r="G477" s="4" t="s">
        <v>199</v>
      </c>
      <c r="H477" s="4" t="s">
        <v>200</v>
      </c>
      <c r="I477" s="4" t="n">
        <v>5</v>
      </c>
      <c r="J477" s="4" t="n">
        <v>5</v>
      </c>
      <c r="K477" s="4" t="n">
        <f aca="false">I477-J477</f>
        <v>0</v>
      </c>
    </row>
    <row r="478" customFormat="false" ht="15" hidden="false" customHeight="false" outlineLevel="0" collapsed="false">
      <c r="A478" s="4" t="s">
        <v>152</v>
      </c>
      <c r="B478" s="4" t="s">
        <v>153</v>
      </c>
      <c r="C478" s="4" t="s">
        <v>6</v>
      </c>
      <c r="D478" s="4" t="s">
        <v>139</v>
      </c>
      <c r="E478" s="4" t="s">
        <v>32</v>
      </c>
      <c r="F478" s="4" t="n">
        <v>1</v>
      </c>
      <c r="G478" s="4" t="s">
        <v>191</v>
      </c>
      <c r="H478" s="4" t="s">
        <v>192</v>
      </c>
      <c r="I478" s="4" t="n">
        <v>4</v>
      </c>
      <c r="J478" s="4" t="n">
        <v>4</v>
      </c>
      <c r="K478" s="4" t="n">
        <f aca="false">I478-J478</f>
        <v>0</v>
      </c>
    </row>
    <row r="479" customFormat="false" ht="15" hidden="false" customHeight="false" outlineLevel="0" collapsed="false">
      <c r="A479" s="4" t="s">
        <v>152</v>
      </c>
      <c r="B479" s="4" t="s">
        <v>153</v>
      </c>
      <c r="C479" s="4" t="s">
        <v>6</v>
      </c>
      <c r="D479" s="4" t="s">
        <v>139</v>
      </c>
      <c r="E479" s="4" t="s">
        <v>32</v>
      </c>
      <c r="F479" s="4" t="n">
        <v>2</v>
      </c>
      <c r="G479" s="4" t="s">
        <v>193</v>
      </c>
      <c r="H479" s="4" t="s">
        <v>192</v>
      </c>
      <c r="I479" s="4" t="n">
        <v>3</v>
      </c>
      <c r="J479" s="4" t="n">
        <v>4</v>
      </c>
      <c r="K479" s="4" t="n">
        <f aca="false">I479-J479</f>
        <v>-1</v>
      </c>
    </row>
    <row r="480" customFormat="false" ht="15" hidden="false" customHeight="false" outlineLevel="0" collapsed="false">
      <c r="A480" s="4" t="s">
        <v>152</v>
      </c>
      <c r="B480" s="4" t="s">
        <v>153</v>
      </c>
      <c r="C480" s="4" t="s">
        <v>6</v>
      </c>
      <c r="D480" s="4" t="s">
        <v>139</v>
      </c>
      <c r="E480" s="4" t="s">
        <v>32</v>
      </c>
      <c r="F480" s="4" t="n">
        <v>3</v>
      </c>
      <c r="G480" s="4" t="s">
        <v>194</v>
      </c>
      <c r="H480" s="4" t="s">
        <v>192</v>
      </c>
      <c r="I480" s="4" t="n">
        <v>5</v>
      </c>
      <c r="J480" s="4" t="n">
        <v>5</v>
      </c>
      <c r="K480" s="4" t="n">
        <f aca="false">I480-J480</f>
        <v>0</v>
      </c>
    </row>
    <row r="481" customFormat="false" ht="15" hidden="false" customHeight="false" outlineLevel="0" collapsed="false">
      <c r="A481" s="4" t="s">
        <v>152</v>
      </c>
      <c r="B481" s="4" t="s">
        <v>153</v>
      </c>
      <c r="C481" s="4" t="s">
        <v>6</v>
      </c>
      <c r="D481" s="4" t="s">
        <v>139</v>
      </c>
      <c r="E481" s="4" t="s">
        <v>32</v>
      </c>
      <c r="F481" s="4" t="n">
        <v>5</v>
      </c>
      <c r="G481" s="4" t="s">
        <v>201</v>
      </c>
      <c r="H481" s="4" t="s">
        <v>202</v>
      </c>
      <c r="I481" s="4" t="n">
        <v>5</v>
      </c>
      <c r="J481" s="4" t="n">
        <v>4</v>
      </c>
      <c r="K481" s="4" t="n">
        <f aca="false">I481-J481</f>
        <v>1</v>
      </c>
    </row>
    <row r="482" customFormat="false" ht="15" hidden="false" customHeight="false" outlineLevel="0" collapsed="false">
      <c r="A482" s="4" t="s">
        <v>152</v>
      </c>
      <c r="B482" s="4" t="s">
        <v>153</v>
      </c>
      <c r="C482" s="4" t="s">
        <v>6</v>
      </c>
      <c r="D482" s="4" t="s">
        <v>139</v>
      </c>
      <c r="E482" s="4" t="s">
        <v>32</v>
      </c>
      <c r="F482" s="4" t="n">
        <v>7</v>
      </c>
      <c r="G482" s="4" t="s">
        <v>204</v>
      </c>
      <c r="H482" s="4" t="s">
        <v>205</v>
      </c>
      <c r="I482" s="4" t="n">
        <v>4</v>
      </c>
      <c r="J482" s="4" t="n">
        <v>4</v>
      </c>
      <c r="K482" s="4" t="n">
        <f aca="false">I482-J482</f>
        <v>0</v>
      </c>
    </row>
    <row r="483" customFormat="false" ht="15" hidden="false" customHeight="false" outlineLevel="0" collapsed="false">
      <c r="A483" s="4" t="s">
        <v>152</v>
      </c>
      <c r="B483" s="4" t="s">
        <v>153</v>
      </c>
      <c r="C483" s="4" t="s">
        <v>6</v>
      </c>
      <c r="D483" s="4" t="s">
        <v>139</v>
      </c>
      <c r="E483" s="4" t="s">
        <v>32</v>
      </c>
      <c r="F483" s="4" t="n">
        <v>9</v>
      </c>
      <c r="G483" s="4" t="s">
        <v>207</v>
      </c>
      <c r="H483" s="4" t="s">
        <v>208</v>
      </c>
      <c r="I483" s="4" t="n">
        <v>5</v>
      </c>
      <c r="J483" s="4" t="n">
        <v>5</v>
      </c>
      <c r="K483" s="4" t="n">
        <f aca="false">I483-J483</f>
        <v>0</v>
      </c>
    </row>
    <row r="484" customFormat="false" ht="15" hidden="false" customHeight="false" outlineLevel="0" collapsed="false">
      <c r="A484" s="4" t="s">
        <v>152</v>
      </c>
      <c r="B484" s="4" t="s">
        <v>153</v>
      </c>
      <c r="C484" s="4" t="s">
        <v>6</v>
      </c>
      <c r="D484" s="4" t="s">
        <v>139</v>
      </c>
      <c r="E484" s="4" t="s">
        <v>32</v>
      </c>
      <c r="F484" s="4" t="n">
        <v>14</v>
      </c>
      <c r="G484" s="4" t="s">
        <v>199</v>
      </c>
      <c r="H484" s="4" t="s">
        <v>200</v>
      </c>
      <c r="I484" s="4" t="n">
        <v>5</v>
      </c>
      <c r="J484" s="4" t="n">
        <v>5</v>
      </c>
      <c r="K484" s="4" t="n">
        <f aca="false">I484-J484</f>
        <v>0</v>
      </c>
    </row>
    <row r="485" customFormat="false" ht="15" hidden="false" customHeight="false" outlineLevel="0" collapsed="false">
      <c r="A485" s="4" t="s">
        <v>154</v>
      </c>
      <c r="B485" s="4" t="s">
        <v>155</v>
      </c>
      <c r="C485" s="4" t="s">
        <v>6</v>
      </c>
      <c r="D485" s="4" t="s">
        <v>139</v>
      </c>
      <c r="E485" s="4" t="s">
        <v>32</v>
      </c>
      <c r="F485" s="4" t="n">
        <v>1</v>
      </c>
      <c r="G485" s="4" t="s">
        <v>191</v>
      </c>
      <c r="H485" s="4" t="s">
        <v>192</v>
      </c>
      <c r="I485" s="4" t="n">
        <v>5</v>
      </c>
      <c r="J485" s="4" t="n">
        <v>4</v>
      </c>
      <c r="K485" s="4" t="n">
        <f aca="false">I485-J485</f>
        <v>1</v>
      </c>
    </row>
    <row r="486" customFormat="false" ht="15" hidden="false" customHeight="false" outlineLevel="0" collapsed="false">
      <c r="A486" s="4" t="s">
        <v>154</v>
      </c>
      <c r="B486" s="4" t="s">
        <v>155</v>
      </c>
      <c r="C486" s="4" t="s">
        <v>6</v>
      </c>
      <c r="D486" s="4" t="s">
        <v>139</v>
      </c>
      <c r="E486" s="4" t="s">
        <v>32</v>
      </c>
      <c r="F486" s="4" t="n">
        <v>2</v>
      </c>
      <c r="G486" s="4" t="s">
        <v>193</v>
      </c>
      <c r="H486" s="4" t="s">
        <v>192</v>
      </c>
      <c r="I486" s="4" t="n">
        <v>4</v>
      </c>
      <c r="J486" s="4" t="n">
        <v>4</v>
      </c>
      <c r="K486" s="4" t="n">
        <f aca="false">I486-J486</f>
        <v>0</v>
      </c>
    </row>
    <row r="487" customFormat="false" ht="15" hidden="false" customHeight="false" outlineLevel="0" collapsed="false">
      <c r="A487" s="4" t="s">
        <v>154</v>
      </c>
      <c r="B487" s="4" t="s">
        <v>155</v>
      </c>
      <c r="C487" s="4" t="s">
        <v>6</v>
      </c>
      <c r="D487" s="4" t="s">
        <v>139</v>
      </c>
      <c r="E487" s="4" t="s">
        <v>32</v>
      </c>
      <c r="F487" s="4" t="n">
        <v>3</v>
      </c>
      <c r="G487" s="4" t="s">
        <v>194</v>
      </c>
      <c r="H487" s="4" t="s">
        <v>192</v>
      </c>
      <c r="I487" s="4" t="n">
        <v>5</v>
      </c>
      <c r="J487" s="4" t="n">
        <v>5</v>
      </c>
      <c r="K487" s="4" t="n">
        <f aca="false">I487-J487</f>
        <v>0</v>
      </c>
    </row>
    <row r="488" customFormat="false" ht="15" hidden="false" customHeight="false" outlineLevel="0" collapsed="false">
      <c r="A488" s="4" t="s">
        <v>154</v>
      </c>
      <c r="B488" s="4" t="s">
        <v>155</v>
      </c>
      <c r="C488" s="4" t="s">
        <v>6</v>
      </c>
      <c r="D488" s="4" t="s">
        <v>139</v>
      </c>
      <c r="E488" s="4" t="s">
        <v>32</v>
      </c>
      <c r="F488" s="4" t="n">
        <v>5</v>
      </c>
      <c r="G488" s="4" t="s">
        <v>201</v>
      </c>
      <c r="H488" s="4" t="s">
        <v>202</v>
      </c>
      <c r="I488" s="4" t="n">
        <v>5</v>
      </c>
      <c r="J488" s="4" t="n">
        <v>5</v>
      </c>
      <c r="K488" s="4" t="n">
        <f aca="false">I488-J488</f>
        <v>0</v>
      </c>
    </row>
    <row r="489" customFormat="false" ht="15" hidden="false" customHeight="false" outlineLevel="0" collapsed="false">
      <c r="A489" s="4" t="s">
        <v>154</v>
      </c>
      <c r="B489" s="4" t="s">
        <v>155</v>
      </c>
      <c r="C489" s="4" t="s">
        <v>6</v>
      </c>
      <c r="D489" s="4" t="s">
        <v>139</v>
      </c>
      <c r="E489" s="4" t="s">
        <v>32</v>
      </c>
      <c r="F489" s="4" t="n">
        <v>7</v>
      </c>
      <c r="G489" s="4" t="s">
        <v>204</v>
      </c>
      <c r="H489" s="4" t="s">
        <v>205</v>
      </c>
      <c r="I489" s="4" t="n">
        <v>5</v>
      </c>
      <c r="J489" s="4" t="n">
        <v>5</v>
      </c>
      <c r="K489" s="4" t="n">
        <f aca="false">I489-J489</f>
        <v>0</v>
      </c>
    </row>
    <row r="490" customFormat="false" ht="15" hidden="false" customHeight="false" outlineLevel="0" collapsed="false">
      <c r="A490" s="4" t="s">
        <v>154</v>
      </c>
      <c r="B490" s="4" t="s">
        <v>155</v>
      </c>
      <c r="C490" s="4" t="s">
        <v>6</v>
      </c>
      <c r="D490" s="4" t="s">
        <v>139</v>
      </c>
      <c r="E490" s="4" t="s">
        <v>32</v>
      </c>
      <c r="F490" s="4" t="n">
        <v>9</v>
      </c>
      <c r="G490" s="4" t="s">
        <v>207</v>
      </c>
      <c r="H490" s="4" t="s">
        <v>208</v>
      </c>
      <c r="I490" s="4" t="n">
        <v>5</v>
      </c>
      <c r="J490" s="4" t="n">
        <v>4</v>
      </c>
      <c r="K490" s="4" t="n">
        <f aca="false">I490-J490</f>
        <v>1</v>
      </c>
    </row>
    <row r="491" customFormat="false" ht="15" hidden="false" customHeight="false" outlineLevel="0" collapsed="false">
      <c r="A491" s="4" t="s">
        <v>154</v>
      </c>
      <c r="B491" s="4" t="s">
        <v>155</v>
      </c>
      <c r="C491" s="4" t="s">
        <v>6</v>
      </c>
      <c r="D491" s="4" t="s">
        <v>139</v>
      </c>
      <c r="E491" s="4" t="s">
        <v>32</v>
      </c>
      <c r="F491" s="4" t="n">
        <v>14</v>
      </c>
      <c r="G491" s="4" t="s">
        <v>199</v>
      </c>
      <c r="H491" s="4" t="s">
        <v>200</v>
      </c>
      <c r="I491" s="4" t="n">
        <v>5</v>
      </c>
      <c r="J491" s="4" t="n">
        <v>4</v>
      </c>
      <c r="K491" s="4" t="n">
        <f aca="false">I491-J491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23.85" hidden="false" customHeight="false" outlineLevel="0" collapsed="false">
      <c r="A1" s="3" t="s">
        <v>23</v>
      </c>
      <c r="B1" s="3" t="s">
        <v>24</v>
      </c>
      <c r="C1" s="3" t="s">
        <v>2</v>
      </c>
      <c r="D1" s="3" t="s">
        <v>25</v>
      </c>
      <c r="E1" s="3" t="s">
        <v>26</v>
      </c>
      <c r="F1" s="3" t="s">
        <v>3</v>
      </c>
      <c r="G1" s="3" t="s">
        <v>4</v>
      </c>
      <c r="H1" s="3" t="s">
        <v>210</v>
      </c>
      <c r="I1" s="3" t="s">
        <v>211</v>
      </c>
      <c r="J1" s="3" t="s">
        <v>212</v>
      </c>
      <c r="K1" s="3" t="s">
        <v>10</v>
      </c>
      <c r="L1" s="3" t="s">
        <v>213</v>
      </c>
    </row>
    <row r="2" customFormat="false" ht="15" hidden="false" customHeight="false" outlineLevel="0" collapsed="false">
      <c r="A2" s="4" t="s">
        <v>29</v>
      </c>
      <c r="B2" s="4" t="s">
        <v>30</v>
      </c>
      <c r="C2" s="4" t="s">
        <v>9</v>
      </c>
      <c r="D2" s="4" t="s">
        <v>31</v>
      </c>
      <c r="E2" s="4" t="s">
        <v>32</v>
      </c>
      <c r="F2" s="5" t="n">
        <f aca="false">INDEX(Parametreler!$B$5:$B$9,MATCH(C2,Parametreler!$A$5:$A$9,0))</f>
        <v>0.6</v>
      </c>
      <c r="G2" s="5" t="n">
        <f aca="false">INDEX(Parametreler!$C$5:$C$9,MATCH(C2,Parametreler!$A$5:$A$9,0))</f>
        <v>0.4</v>
      </c>
      <c r="H2" s="9" t="n">
        <f aca="false">SUMIFS(Hedefler!$L$2:$L$400,Hedefler!$A$2:$A$400,A2)</f>
        <v>99.2213772276054</v>
      </c>
      <c r="I2" s="9" t="n">
        <f aca="false">AVERAGEIFS(Yetkinlikler!$J$2:$J$600,Yetkinlikler!$A$2:$A$600,A2)/5*100</f>
        <v>97.1428571428571</v>
      </c>
      <c r="J2" s="9" t="n">
        <f aca="false">H2*F2+I2*G2</f>
        <v>98.3899691937061</v>
      </c>
      <c r="K2" s="4" t="str">
        <f aca="false">IF(J2&gt;=100,"Yıldız",IF(J2&gt;=85,"Güçlü",IF(J2&gt;=70,"Beklenen","Gelişim Alanı")))</f>
        <v>Güçlü</v>
      </c>
      <c r="L2" s="9" t="n">
        <f aca="false">AVERAGEIFS(Yetkinlikler!$K$2:$K$600,Yetkinlikler!$A$2:$A$600,A2)</f>
        <v>-0.285714285714286</v>
      </c>
    </row>
    <row r="3" customFormat="false" ht="15" hidden="false" customHeight="false" outlineLevel="0" collapsed="false">
      <c r="A3" s="4" t="s">
        <v>33</v>
      </c>
      <c r="B3" s="4" t="s">
        <v>34</v>
      </c>
      <c r="C3" s="4" t="s">
        <v>7</v>
      </c>
      <c r="D3" s="4" t="s">
        <v>35</v>
      </c>
      <c r="E3" s="4" t="s">
        <v>36</v>
      </c>
      <c r="F3" s="5" t="n">
        <f aca="false">INDEX(Parametreler!$B$5:$B$9,MATCH(C3,Parametreler!$A$5:$A$9,0))</f>
        <v>0.6</v>
      </c>
      <c r="G3" s="5" t="n">
        <f aca="false">INDEX(Parametreler!$C$5:$C$9,MATCH(C3,Parametreler!$A$5:$A$9,0))</f>
        <v>0.4</v>
      </c>
      <c r="H3" s="9" t="n">
        <f aca="false">SUMIFS(Hedefler!$L$2:$L$400,Hedefler!$A$2:$A$400,A3)</f>
        <v>83.1773570310808</v>
      </c>
      <c r="I3" s="9" t="n">
        <f aca="false">AVERAGEIFS(Yetkinlikler!$J$2:$J$600,Yetkinlikler!$A$2:$A$600,A3)/5*100</f>
        <v>82.8571428571429</v>
      </c>
      <c r="J3" s="9" t="n">
        <f aca="false">H3*F3+I3*G3</f>
        <v>83.0492713615056</v>
      </c>
      <c r="K3" s="4" t="str">
        <f aca="false">IF(J3&gt;=100,"Yıldız",IF(J3&gt;=85,"Güçlü",IF(J3&gt;=70,"Beklenen","Gelişim Alanı")))</f>
        <v>Beklenen</v>
      </c>
      <c r="L3" s="9" t="n">
        <f aca="false">AVERAGEIFS(Yetkinlikler!$K$2:$K$600,Yetkinlikler!$A$2:$A$600,A3)</f>
        <v>0</v>
      </c>
    </row>
    <row r="4" customFormat="false" ht="15" hidden="false" customHeight="false" outlineLevel="0" collapsed="false">
      <c r="A4" s="4" t="s">
        <v>37</v>
      </c>
      <c r="B4" s="4" t="s">
        <v>38</v>
      </c>
      <c r="C4" s="4" t="s">
        <v>5</v>
      </c>
      <c r="D4" s="4" t="s">
        <v>35</v>
      </c>
      <c r="E4" s="4" t="s">
        <v>36</v>
      </c>
      <c r="F4" s="5" t="n">
        <f aca="false">INDEX(Parametreler!$B$5:$B$9,MATCH(C4,Parametreler!$A$5:$A$9,0))</f>
        <v>0.7</v>
      </c>
      <c r="G4" s="5" t="n">
        <f aca="false">INDEX(Parametreler!$C$5:$C$9,MATCH(C4,Parametreler!$A$5:$A$9,0))</f>
        <v>0.3</v>
      </c>
      <c r="H4" s="9" t="n">
        <f aca="false">SUMIFS(Hedefler!$L$2:$L$400,Hedefler!$A$2:$A$400,A4)</f>
        <v>86.843017203717</v>
      </c>
      <c r="I4" s="9" t="n">
        <f aca="false">AVERAGEIFS(Yetkinlikler!$J$2:$J$600,Yetkinlikler!$A$2:$A$600,A4)/5*100</f>
        <v>92</v>
      </c>
      <c r="J4" s="9" t="n">
        <f aca="false">H4*F4+I4*G4</f>
        <v>88.3901120426019</v>
      </c>
      <c r="K4" s="4" t="str">
        <f aca="false">IF(J4&gt;=100,"Yıldız",IF(J4&gt;=85,"Güçlü",IF(J4&gt;=70,"Beklenen","Gelişim Alanı")))</f>
        <v>Güçlü</v>
      </c>
      <c r="L4" s="9" t="n">
        <f aca="false">AVERAGEIFS(Yetkinlikler!$K$2:$K$600,Yetkinlikler!$A$2:$A$600,A4)</f>
        <v>0.1</v>
      </c>
    </row>
    <row r="5" customFormat="false" ht="15" hidden="false" customHeight="false" outlineLevel="0" collapsed="false">
      <c r="A5" s="4" t="s">
        <v>39</v>
      </c>
      <c r="B5" s="4" t="s">
        <v>40</v>
      </c>
      <c r="C5" s="4" t="s">
        <v>5</v>
      </c>
      <c r="D5" s="4" t="s">
        <v>35</v>
      </c>
      <c r="E5" s="4" t="s">
        <v>36</v>
      </c>
      <c r="F5" s="5" t="n">
        <f aca="false">INDEX(Parametreler!$B$5:$B$9,MATCH(C5,Parametreler!$A$5:$A$9,0))</f>
        <v>0.7</v>
      </c>
      <c r="G5" s="5" t="n">
        <f aca="false">INDEX(Parametreler!$C$5:$C$9,MATCH(C5,Parametreler!$A$5:$A$9,0))</f>
        <v>0.3</v>
      </c>
      <c r="H5" s="9" t="n">
        <f aca="false">SUMIFS(Hedefler!$L$2:$L$400,Hedefler!$A$2:$A$400,A5)</f>
        <v>90.6064387040284</v>
      </c>
      <c r="I5" s="9" t="n">
        <f aca="false">AVERAGEIFS(Yetkinlikler!$J$2:$J$600,Yetkinlikler!$A$2:$A$600,A5)/5*100</f>
        <v>88</v>
      </c>
      <c r="J5" s="9" t="n">
        <f aca="false">H5*F5+I5*G5</f>
        <v>89.8245070928199</v>
      </c>
      <c r="K5" s="4" t="str">
        <f aca="false">IF(J5&gt;=100,"Yıldız",IF(J5&gt;=85,"Güçlü",IF(J5&gt;=70,"Beklenen","Gelişim Alanı")))</f>
        <v>Güçlü</v>
      </c>
      <c r="L5" s="9" t="n">
        <f aca="false">AVERAGEIFS(Yetkinlikler!$K$2:$K$600,Yetkinlikler!$A$2:$A$600,A5)</f>
        <v>0</v>
      </c>
    </row>
    <row r="6" customFormat="false" ht="15" hidden="false" customHeight="false" outlineLevel="0" collapsed="false">
      <c r="A6" s="4" t="s">
        <v>41</v>
      </c>
      <c r="B6" s="4" t="s">
        <v>42</v>
      </c>
      <c r="C6" s="4" t="s">
        <v>5</v>
      </c>
      <c r="D6" s="4" t="s">
        <v>35</v>
      </c>
      <c r="E6" s="4" t="s">
        <v>36</v>
      </c>
      <c r="F6" s="5" t="n">
        <f aca="false">INDEX(Parametreler!$B$5:$B$9,MATCH(C6,Parametreler!$A$5:$A$9,0))</f>
        <v>0.7</v>
      </c>
      <c r="G6" s="5" t="n">
        <f aca="false">INDEX(Parametreler!$C$5:$C$9,MATCH(C6,Parametreler!$A$5:$A$9,0))</f>
        <v>0.3</v>
      </c>
      <c r="H6" s="9" t="n">
        <f aca="false">SUMIFS(Hedefler!$L$2:$L$400,Hedefler!$A$2:$A$400,A6)</f>
        <v>99.4336389422655</v>
      </c>
      <c r="I6" s="9" t="n">
        <f aca="false">AVERAGEIFS(Yetkinlikler!$J$2:$J$600,Yetkinlikler!$A$2:$A$600,A6)/5*100</f>
        <v>96</v>
      </c>
      <c r="J6" s="9" t="n">
        <f aca="false">H6*F6+I6*G6</f>
        <v>98.4035472595859</v>
      </c>
      <c r="K6" s="4" t="str">
        <f aca="false">IF(J6&gt;=100,"Yıldız",IF(J6&gt;=85,"Güçlü",IF(J6&gt;=70,"Beklenen","Gelişim Alanı")))</f>
        <v>Güçlü</v>
      </c>
      <c r="L6" s="9" t="n">
        <f aca="false">AVERAGEIFS(Yetkinlikler!$K$2:$K$600,Yetkinlikler!$A$2:$A$600,A6)</f>
        <v>-0.1</v>
      </c>
    </row>
    <row r="7" customFormat="false" ht="15" hidden="false" customHeight="false" outlineLevel="0" collapsed="false">
      <c r="A7" s="4" t="s">
        <v>43</v>
      </c>
      <c r="B7" s="4" t="s">
        <v>44</v>
      </c>
      <c r="C7" s="4" t="s">
        <v>5</v>
      </c>
      <c r="D7" s="4" t="s">
        <v>35</v>
      </c>
      <c r="E7" s="4" t="s">
        <v>36</v>
      </c>
      <c r="F7" s="5" t="n">
        <f aca="false">INDEX(Parametreler!$B$5:$B$9,MATCH(C7,Parametreler!$A$5:$A$9,0))</f>
        <v>0.7</v>
      </c>
      <c r="G7" s="5" t="n">
        <f aca="false">INDEX(Parametreler!$C$5:$C$9,MATCH(C7,Parametreler!$A$5:$A$9,0))</f>
        <v>0.3</v>
      </c>
      <c r="H7" s="9" t="n">
        <f aca="false">SUMIFS(Hedefler!$L$2:$L$400,Hedefler!$A$2:$A$400,A7)</f>
        <v>60.3243956418114</v>
      </c>
      <c r="I7" s="9" t="n">
        <f aca="false">AVERAGEIFS(Yetkinlikler!$J$2:$J$600,Yetkinlikler!$A$2:$A$600,A7)/5*100</f>
        <v>70</v>
      </c>
      <c r="J7" s="9" t="n">
        <f aca="false">H7*F7+I7*G7</f>
        <v>63.227076949268</v>
      </c>
      <c r="K7" s="4" t="str">
        <f aca="false">IF(J7&gt;=100,"Yıldız",IF(J7&gt;=85,"Güçlü",IF(J7&gt;=70,"Beklenen","Gelişim Alanı")))</f>
        <v>Gelişim Alanı</v>
      </c>
      <c r="L7" s="9" t="n">
        <f aca="false">AVERAGEIFS(Yetkinlikler!$K$2:$K$600,Yetkinlikler!$A$2:$A$600,A7)</f>
        <v>0.2</v>
      </c>
    </row>
    <row r="8" customFormat="false" ht="15" hidden="false" customHeight="false" outlineLevel="0" collapsed="false">
      <c r="A8" s="4" t="s">
        <v>45</v>
      </c>
      <c r="B8" s="4" t="s">
        <v>46</v>
      </c>
      <c r="C8" s="4" t="s">
        <v>7</v>
      </c>
      <c r="D8" s="4" t="s">
        <v>47</v>
      </c>
      <c r="E8" s="4" t="s">
        <v>36</v>
      </c>
      <c r="F8" s="5" t="n">
        <f aca="false">INDEX(Parametreler!$B$5:$B$9,MATCH(C8,Parametreler!$A$5:$A$9,0))</f>
        <v>0.6</v>
      </c>
      <c r="G8" s="5" t="n">
        <f aca="false">INDEX(Parametreler!$C$5:$C$9,MATCH(C8,Parametreler!$A$5:$A$9,0))</f>
        <v>0.4</v>
      </c>
      <c r="H8" s="9" t="n">
        <f aca="false">SUMIFS(Hedefler!$L$2:$L$400,Hedefler!$A$2:$A$400,A8)</f>
        <v>76.307210209512</v>
      </c>
      <c r="I8" s="9" t="n">
        <f aca="false">AVERAGEIFS(Yetkinlikler!$J$2:$J$600,Yetkinlikler!$A$2:$A$600,A8)/5*100</f>
        <v>82.8571428571429</v>
      </c>
      <c r="J8" s="9" t="n">
        <f aca="false">H8*F8+I8*G8</f>
        <v>78.9271832685643</v>
      </c>
      <c r="K8" s="4" t="str">
        <f aca="false">IF(J8&gt;=100,"Yıldız",IF(J8&gt;=85,"Güçlü",IF(J8&gt;=70,"Beklenen","Gelişim Alanı")))</f>
        <v>Beklenen</v>
      </c>
      <c r="L8" s="9" t="n">
        <f aca="false">AVERAGEIFS(Yetkinlikler!$K$2:$K$600,Yetkinlikler!$A$2:$A$600,A8)</f>
        <v>0.428571428571429</v>
      </c>
    </row>
    <row r="9" customFormat="false" ht="15" hidden="false" customHeight="false" outlineLevel="0" collapsed="false">
      <c r="A9" s="4" t="s">
        <v>48</v>
      </c>
      <c r="B9" s="4" t="s">
        <v>49</v>
      </c>
      <c r="C9" s="4" t="s">
        <v>5</v>
      </c>
      <c r="D9" s="4" t="s">
        <v>47</v>
      </c>
      <c r="E9" s="4" t="s">
        <v>36</v>
      </c>
      <c r="F9" s="5" t="n">
        <f aca="false">INDEX(Parametreler!$B$5:$B$9,MATCH(C9,Parametreler!$A$5:$A$9,0))</f>
        <v>0.7</v>
      </c>
      <c r="G9" s="5" t="n">
        <f aca="false">INDEX(Parametreler!$C$5:$C$9,MATCH(C9,Parametreler!$A$5:$A$9,0))</f>
        <v>0.3</v>
      </c>
      <c r="H9" s="9" t="n">
        <f aca="false">SUMIFS(Hedefler!$L$2:$L$400,Hedefler!$A$2:$A$400,A9)</f>
        <v>101.097108713474</v>
      </c>
      <c r="I9" s="9" t="n">
        <f aca="false">AVERAGEIFS(Yetkinlikler!$J$2:$J$600,Yetkinlikler!$A$2:$A$600,A9)/5*100</f>
        <v>90</v>
      </c>
      <c r="J9" s="9" t="n">
        <f aca="false">H9*F9+I9*G9</f>
        <v>97.7679760994316</v>
      </c>
      <c r="K9" s="4" t="str">
        <f aca="false">IF(J9&gt;=100,"Yıldız",IF(J9&gt;=85,"Güçlü",IF(J9&gt;=70,"Beklenen","Gelişim Alanı")))</f>
        <v>Güçlü</v>
      </c>
      <c r="L9" s="9" t="n">
        <f aca="false">AVERAGEIFS(Yetkinlikler!$K$2:$K$600,Yetkinlikler!$A$2:$A$600,A9)</f>
        <v>0.2</v>
      </c>
    </row>
    <row r="10" customFormat="false" ht="15" hidden="false" customHeight="false" outlineLevel="0" collapsed="false">
      <c r="A10" s="4" t="s">
        <v>50</v>
      </c>
      <c r="B10" s="4" t="s">
        <v>51</v>
      </c>
      <c r="C10" s="4" t="s">
        <v>5</v>
      </c>
      <c r="D10" s="4" t="s">
        <v>47</v>
      </c>
      <c r="E10" s="4" t="s">
        <v>36</v>
      </c>
      <c r="F10" s="5" t="n">
        <f aca="false">INDEX(Parametreler!$B$5:$B$9,MATCH(C10,Parametreler!$A$5:$A$9,0))</f>
        <v>0.7</v>
      </c>
      <c r="G10" s="5" t="n">
        <f aca="false">INDEX(Parametreler!$C$5:$C$9,MATCH(C10,Parametreler!$A$5:$A$9,0))</f>
        <v>0.3</v>
      </c>
      <c r="H10" s="9" t="n">
        <f aca="false">SUMIFS(Hedefler!$L$2:$L$400,Hedefler!$A$2:$A$400,A10)</f>
        <v>83.6771653211287</v>
      </c>
      <c r="I10" s="9" t="n">
        <f aca="false">AVERAGEIFS(Yetkinlikler!$J$2:$J$600,Yetkinlikler!$A$2:$A$600,A10)/5*100</f>
        <v>86</v>
      </c>
      <c r="J10" s="9" t="n">
        <f aca="false">H10*F10+I10*G10</f>
        <v>84.3740157247901</v>
      </c>
      <c r="K10" s="4" t="str">
        <f aca="false">IF(J10&gt;=100,"Yıldız",IF(J10&gt;=85,"Güçlü",IF(J10&gt;=70,"Beklenen","Gelişim Alanı")))</f>
        <v>Beklenen</v>
      </c>
      <c r="L10" s="9" t="n">
        <f aca="false">AVERAGEIFS(Yetkinlikler!$K$2:$K$600,Yetkinlikler!$A$2:$A$600,A10)</f>
        <v>0.6</v>
      </c>
    </row>
    <row r="11" customFormat="false" ht="15" hidden="false" customHeight="false" outlineLevel="0" collapsed="false">
      <c r="A11" s="4" t="s">
        <v>52</v>
      </c>
      <c r="B11" s="4" t="s">
        <v>53</v>
      </c>
      <c r="C11" s="4" t="s">
        <v>5</v>
      </c>
      <c r="D11" s="4" t="s">
        <v>47</v>
      </c>
      <c r="E11" s="4" t="s">
        <v>36</v>
      </c>
      <c r="F11" s="5" t="n">
        <f aca="false">INDEX(Parametreler!$B$5:$B$9,MATCH(C11,Parametreler!$A$5:$A$9,0))</f>
        <v>0.7</v>
      </c>
      <c r="G11" s="5" t="n">
        <f aca="false">INDEX(Parametreler!$C$5:$C$9,MATCH(C11,Parametreler!$A$5:$A$9,0))</f>
        <v>0.3</v>
      </c>
      <c r="H11" s="9" t="n">
        <f aca="false">SUMIFS(Hedefler!$L$2:$L$400,Hedefler!$A$2:$A$400,A11)</f>
        <v>79.553277102758</v>
      </c>
      <c r="I11" s="9" t="n">
        <f aca="false">AVERAGEIFS(Yetkinlikler!$J$2:$J$600,Yetkinlikler!$A$2:$A$600,A11)/5*100</f>
        <v>80</v>
      </c>
      <c r="J11" s="9" t="n">
        <f aca="false">H11*F11+I11*G11</f>
        <v>79.6872939719306</v>
      </c>
      <c r="K11" s="4" t="str">
        <f aca="false">IF(J11&gt;=100,"Yıldız",IF(J11&gt;=85,"Güçlü",IF(J11&gt;=70,"Beklenen","Gelişim Alanı")))</f>
        <v>Beklenen</v>
      </c>
      <c r="L11" s="9" t="n">
        <f aca="false">AVERAGEIFS(Yetkinlikler!$K$2:$K$600,Yetkinlikler!$A$2:$A$600,A11)</f>
        <v>0.2</v>
      </c>
    </row>
    <row r="12" customFormat="false" ht="15" hidden="false" customHeight="false" outlineLevel="0" collapsed="false">
      <c r="A12" s="4" t="s">
        <v>54</v>
      </c>
      <c r="B12" s="4" t="s">
        <v>55</v>
      </c>
      <c r="C12" s="4" t="s">
        <v>5</v>
      </c>
      <c r="D12" s="4" t="s">
        <v>47</v>
      </c>
      <c r="E12" s="4" t="s">
        <v>36</v>
      </c>
      <c r="F12" s="5" t="n">
        <f aca="false">INDEX(Parametreler!$B$5:$B$9,MATCH(C12,Parametreler!$A$5:$A$9,0))</f>
        <v>0.7</v>
      </c>
      <c r="G12" s="5" t="n">
        <f aca="false">INDEX(Parametreler!$C$5:$C$9,MATCH(C12,Parametreler!$A$5:$A$9,0))</f>
        <v>0.3</v>
      </c>
      <c r="H12" s="9" t="n">
        <f aca="false">SUMIFS(Hedefler!$L$2:$L$400,Hedefler!$A$2:$A$400,A12)</f>
        <v>89.645348073204</v>
      </c>
      <c r="I12" s="9" t="n">
        <f aca="false">AVERAGEIFS(Yetkinlikler!$J$2:$J$600,Yetkinlikler!$A$2:$A$600,A12)/5*100</f>
        <v>88</v>
      </c>
      <c r="J12" s="9" t="n">
        <f aca="false">H12*F12+I12*G12</f>
        <v>89.1517436512428</v>
      </c>
      <c r="K12" s="4" t="str">
        <f aca="false">IF(J12&gt;=100,"Yıldız",IF(J12&gt;=85,"Güçlü",IF(J12&gt;=70,"Beklenen","Gelişim Alanı")))</f>
        <v>Güçlü</v>
      </c>
      <c r="L12" s="9" t="n">
        <f aca="false">AVERAGEIFS(Yetkinlikler!$K$2:$K$600,Yetkinlikler!$A$2:$A$600,A12)</f>
        <v>0.6</v>
      </c>
    </row>
    <row r="13" customFormat="false" ht="15" hidden="false" customHeight="false" outlineLevel="0" collapsed="false">
      <c r="A13" s="4" t="s">
        <v>56</v>
      </c>
      <c r="B13" s="4" t="s">
        <v>57</v>
      </c>
      <c r="C13" s="4" t="s">
        <v>7</v>
      </c>
      <c r="D13" s="4" t="s">
        <v>58</v>
      </c>
      <c r="E13" s="4" t="s">
        <v>36</v>
      </c>
      <c r="F13" s="5" t="n">
        <f aca="false">INDEX(Parametreler!$B$5:$B$9,MATCH(C13,Parametreler!$A$5:$A$9,0))</f>
        <v>0.6</v>
      </c>
      <c r="G13" s="5" t="n">
        <f aca="false">INDEX(Parametreler!$C$5:$C$9,MATCH(C13,Parametreler!$A$5:$A$9,0))</f>
        <v>0.4</v>
      </c>
      <c r="H13" s="9" t="n">
        <f aca="false">SUMIFS(Hedefler!$L$2:$L$400,Hedefler!$A$2:$A$400,A13)</f>
        <v>88.1898068996634</v>
      </c>
      <c r="I13" s="9" t="n">
        <f aca="false">AVERAGEIFS(Yetkinlikler!$J$2:$J$600,Yetkinlikler!$A$2:$A$600,A13)/5*100</f>
        <v>88.5714285714286</v>
      </c>
      <c r="J13" s="9" t="n">
        <f aca="false">H13*F13+I13*G13</f>
        <v>88.3424555683695</v>
      </c>
      <c r="K13" s="4" t="str">
        <f aca="false">IF(J13&gt;=100,"Yıldız",IF(J13&gt;=85,"Güçlü",IF(J13&gt;=70,"Beklenen","Gelişim Alanı")))</f>
        <v>Güçlü</v>
      </c>
      <c r="L13" s="9" t="n">
        <f aca="false">AVERAGEIFS(Yetkinlikler!$K$2:$K$600,Yetkinlikler!$A$2:$A$600,A13)</f>
        <v>-0.285714285714286</v>
      </c>
    </row>
    <row r="14" customFormat="false" ht="15" hidden="false" customHeight="false" outlineLevel="0" collapsed="false">
      <c r="A14" s="4" t="s">
        <v>59</v>
      </c>
      <c r="B14" s="4" t="s">
        <v>60</v>
      </c>
      <c r="C14" s="4" t="s">
        <v>5</v>
      </c>
      <c r="D14" s="4" t="s">
        <v>58</v>
      </c>
      <c r="E14" s="4" t="s">
        <v>36</v>
      </c>
      <c r="F14" s="5" t="n">
        <f aca="false">INDEX(Parametreler!$B$5:$B$9,MATCH(C14,Parametreler!$A$5:$A$9,0))</f>
        <v>0.7</v>
      </c>
      <c r="G14" s="5" t="n">
        <f aca="false">INDEX(Parametreler!$C$5:$C$9,MATCH(C14,Parametreler!$A$5:$A$9,0))</f>
        <v>0.3</v>
      </c>
      <c r="H14" s="9" t="n">
        <f aca="false">SUMIFS(Hedefler!$L$2:$L$400,Hedefler!$A$2:$A$400,A14)</f>
        <v>87.4931039475267</v>
      </c>
      <c r="I14" s="9" t="n">
        <f aca="false">AVERAGEIFS(Yetkinlikler!$J$2:$J$600,Yetkinlikler!$A$2:$A$600,A14)/5*100</f>
        <v>82</v>
      </c>
      <c r="J14" s="9" t="n">
        <f aca="false">H14*F14+I14*G14</f>
        <v>85.8451727632687</v>
      </c>
      <c r="K14" s="4" t="str">
        <f aca="false">IF(J14&gt;=100,"Yıldız",IF(J14&gt;=85,"Güçlü",IF(J14&gt;=70,"Beklenen","Gelişim Alanı")))</f>
        <v>Güçlü</v>
      </c>
      <c r="L14" s="9" t="n">
        <f aca="false">AVERAGEIFS(Yetkinlikler!$K$2:$K$600,Yetkinlikler!$A$2:$A$600,A14)</f>
        <v>0.1</v>
      </c>
    </row>
    <row r="15" customFormat="false" ht="15" hidden="false" customHeight="false" outlineLevel="0" collapsed="false">
      <c r="A15" s="4" t="s">
        <v>61</v>
      </c>
      <c r="B15" s="4" t="s">
        <v>62</v>
      </c>
      <c r="C15" s="4" t="s">
        <v>5</v>
      </c>
      <c r="D15" s="4" t="s">
        <v>58</v>
      </c>
      <c r="E15" s="4" t="s">
        <v>36</v>
      </c>
      <c r="F15" s="5" t="n">
        <f aca="false">INDEX(Parametreler!$B$5:$B$9,MATCH(C15,Parametreler!$A$5:$A$9,0))</f>
        <v>0.7</v>
      </c>
      <c r="G15" s="5" t="n">
        <f aca="false">INDEX(Parametreler!$C$5:$C$9,MATCH(C15,Parametreler!$A$5:$A$9,0))</f>
        <v>0.3</v>
      </c>
      <c r="H15" s="9" t="n">
        <f aca="false">SUMIFS(Hedefler!$L$2:$L$400,Hedefler!$A$2:$A$400,A15)</f>
        <v>58.5341903806977</v>
      </c>
      <c r="I15" s="9" t="n">
        <f aca="false">AVERAGEIFS(Yetkinlikler!$J$2:$J$600,Yetkinlikler!$A$2:$A$600,A15)/5*100</f>
        <v>68</v>
      </c>
      <c r="J15" s="9" t="n">
        <f aca="false">H15*F15+I15*G15</f>
        <v>61.3739332664884</v>
      </c>
      <c r="K15" s="4" t="str">
        <f aca="false">IF(J15&gt;=100,"Yıldız",IF(J15&gt;=85,"Güçlü",IF(J15&gt;=70,"Beklenen","Gelişim Alanı")))</f>
        <v>Gelişim Alanı</v>
      </c>
      <c r="L15" s="9" t="n">
        <f aca="false">AVERAGEIFS(Yetkinlikler!$K$2:$K$600,Yetkinlikler!$A$2:$A$600,A15)</f>
        <v>0.4</v>
      </c>
    </row>
    <row r="16" customFormat="false" ht="15" hidden="false" customHeight="false" outlineLevel="0" collapsed="false">
      <c r="A16" s="4" t="s">
        <v>63</v>
      </c>
      <c r="B16" s="4" t="s">
        <v>64</v>
      </c>
      <c r="C16" s="4" t="s">
        <v>5</v>
      </c>
      <c r="D16" s="4" t="s">
        <v>58</v>
      </c>
      <c r="E16" s="4" t="s">
        <v>36</v>
      </c>
      <c r="F16" s="5" t="n">
        <f aca="false">INDEX(Parametreler!$B$5:$B$9,MATCH(C16,Parametreler!$A$5:$A$9,0))</f>
        <v>0.7</v>
      </c>
      <c r="G16" s="5" t="n">
        <f aca="false">INDEX(Parametreler!$C$5:$C$9,MATCH(C16,Parametreler!$A$5:$A$9,0))</f>
        <v>0.3</v>
      </c>
      <c r="H16" s="9" t="n">
        <f aca="false">SUMIFS(Hedefler!$L$2:$L$400,Hedefler!$A$2:$A$400,A16)</f>
        <v>96.2586686976178</v>
      </c>
      <c r="I16" s="9" t="n">
        <f aca="false">AVERAGEIFS(Yetkinlikler!$J$2:$J$600,Yetkinlikler!$A$2:$A$600,A16)/5*100</f>
        <v>82</v>
      </c>
      <c r="J16" s="9" t="n">
        <f aca="false">H16*F16+I16*G16</f>
        <v>91.9810680883324</v>
      </c>
      <c r="K16" s="4" t="str">
        <f aca="false">IF(J16&gt;=100,"Yıldız",IF(J16&gt;=85,"Güçlü",IF(J16&gt;=70,"Beklenen","Gelişim Alanı")))</f>
        <v>Güçlü</v>
      </c>
      <c r="L16" s="9" t="n">
        <f aca="false">AVERAGEIFS(Yetkinlikler!$K$2:$K$600,Yetkinlikler!$A$2:$A$600,A16)</f>
        <v>-0.2</v>
      </c>
    </row>
    <row r="17" customFormat="false" ht="15" hidden="false" customHeight="false" outlineLevel="0" collapsed="false">
      <c r="A17" s="4" t="s">
        <v>65</v>
      </c>
      <c r="B17" s="4" t="s">
        <v>66</v>
      </c>
      <c r="C17" s="4" t="s">
        <v>7</v>
      </c>
      <c r="D17" s="4" t="s">
        <v>67</v>
      </c>
      <c r="E17" s="4" t="s">
        <v>68</v>
      </c>
      <c r="F17" s="5" t="n">
        <f aca="false">INDEX(Parametreler!$B$5:$B$9,MATCH(C17,Parametreler!$A$5:$A$9,0))</f>
        <v>0.6</v>
      </c>
      <c r="G17" s="5" t="n">
        <f aca="false">INDEX(Parametreler!$C$5:$C$9,MATCH(C17,Parametreler!$A$5:$A$9,0))</f>
        <v>0.4</v>
      </c>
      <c r="H17" s="9" t="n">
        <f aca="false">SUMIFS(Hedefler!$L$2:$L$400,Hedefler!$A$2:$A$400,A17)</f>
        <v>86.8843536859244</v>
      </c>
      <c r="I17" s="9" t="n">
        <f aca="false">AVERAGEIFS(Yetkinlikler!$J$2:$J$600,Yetkinlikler!$A$2:$A$600,A17)/5*100</f>
        <v>82.8571428571429</v>
      </c>
      <c r="J17" s="9" t="n">
        <f aca="false">H17*F17+I17*G17</f>
        <v>85.2734693544118</v>
      </c>
      <c r="K17" s="4" t="str">
        <f aca="false">IF(J17&gt;=100,"Yıldız",IF(J17&gt;=85,"Güçlü",IF(J17&gt;=70,"Beklenen","Gelişim Alanı")))</f>
        <v>Güçlü</v>
      </c>
      <c r="L17" s="9" t="n">
        <f aca="false">AVERAGEIFS(Yetkinlikler!$K$2:$K$600,Yetkinlikler!$A$2:$A$600,A17)</f>
        <v>0.428571428571429</v>
      </c>
    </row>
    <row r="18" customFormat="false" ht="15" hidden="false" customHeight="false" outlineLevel="0" collapsed="false">
      <c r="A18" s="4" t="s">
        <v>69</v>
      </c>
      <c r="B18" s="4" t="s">
        <v>70</v>
      </c>
      <c r="C18" s="4" t="s">
        <v>5</v>
      </c>
      <c r="D18" s="4" t="s">
        <v>67</v>
      </c>
      <c r="E18" s="4" t="s">
        <v>68</v>
      </c>
      <c r="F18" s="5" t="n">
        <f aca="false">INDEX(Parametreler!$B$5:$B$9,MATCH(C18,Parametreler!$A$5:$A$9,0))</f>
        <v>0.7</v>
      </c>
      <c r="G18" s="5" t="n">
        <f aca="false">INDEX(Parametreler!$C$5:$C$9,MATCH(C18,Parametreler!$A$5:$A$9,0))</f>
        <v>0.3</v>
      </c>
      <c r="H18" s="9" t="n">
        <f aca="false">SUMIFS(Hedefler!$L$2:$L$400,Hedefler!$A$2:$A$400,A18)</f>
        <v>86.6688095238095</v>
      </c>
      <c r="I18" s="9" t="n">
        <f aca="false">AVERAGEIFS(Yetkinlikler!$J$2:$J$600,Yetkinlikler!$A$2:$A$600,A18)/5*100</f>
        <v>88</v>
      </c>
      <c r="J18" s="9" t="n">
        <f aca="false">H18*F18+I18*G18</f>
        <v>87.0681666666667</v>
      </c>
      <c r="K18" s="4" t="str">
        <f aca="false">IF(J18&gt;=100,"Yıldız",IF(J18&gt;=85,"Güçlü",IF(J18&gt;=70,"Beklenen","Gelişim Alanı")))</f>
        <v>Güçlü</v>
      </c>
      <c r="L18" s="9" t="n">
        <f aca="false">AVERAGEIFS(Yetkinlikler!$K$2:$K$600,Yetkinlikler!$A$2:$A$600,A18)</f>
        <v>0</v>
      </c>
    </row>
    <row r="19" customFormat="false" ht="15" hidden="false" customHeight="false" outlineLevel="0" collapsed="false">
      <c r="A19" s="4" t="s">
        <v>71</v>
      </c>
      <c r="B19" s="4" t="s">
        <v>72</v>
      </c>
      <c r="C19" s="4" t="s">
        <v>5</v>
      </c>
      <c r="D19" s="4" t="s">
        <v>67</v>
      </c>
      <c r="E19" s="4" t="s">
        <v>68</v>
      </c>
      <c r="F19" s="5" t="n">
        <f aca="false">INDEX(Parametreler!$B$5:$B$9,MATCH(C19,Parametreler!$A$5:$A$9,0))</f>
        <v>0.7</v>
      </c>
      <c r="G19" s="5" t="n">
        <f aca="false">INDEX(Parametreler!$C$5:$C$9,MATCH(C19,Parametreler!$A$5:$A$9,0))</f>
        <v>0.3</v>
      </c>
      <c r="H19" s="9" t="n">
        <f aca="false">SUMIFS(Hedefler!$L$2:$L$400,Hedefler!$A$2:$A$400,A19)</f>
        <v>79.2317224163038</v>
      </c>
      <c r="I19" s="9" t="n">
        <f aca="false">AVERAGEIFS(Yetkinlikler!$J$2:$J$600,Yetkinlikler!$A$2:$A$600,A19)/5*100</f>
        <v>78</v>
      </c>
      <c r="J19" s="9" t="n">
        <f aca="false">H19*F19+I19*G19</f>
        <v>78.8622056914127</v>
      </c>
      <c r="K19" s="4" t="str">
        <f aca="false">IF(J19&gt;=100,"Yıldız",IF(J19&gt;=85,"Güçlü",IF(J19&gt;=70,"Beklenen","Gelişim Alanı")))</f>
        <v>Beklenen</v>
      </c>
      <c r="L19" s="9" t="n">
        <f aca="false">AVERAGEIFS(Yetkinlikler!$K$2:$K$600,Yetkinlikler!$A$2:$A$600,A19)</f>
        <v>0.2</v>
      </c>
    </row>
    <row r="20" customFormat="false" ht="15" hidden="false" customHeight="false" outlineLevel="0" collapsed="false">
      <c r="A20" s="4" t="s">
        <v>73</v>
      </c>
      <c r="B20" s="4" t="s">
        <v>74</v>
      </c>
      <c r="C20" s="4" t="s">
        <v>5</v>
      </c>
      <c r="D20" s="4" t="s">
        <v>67</v>
      </c>
      <c r="E20" s="4" t="s">
        <v>68</v>
      </c>
      <c r="F20" s="5" t="n">
        <f aca="false">INDEX(Parametreler!$B$5:$B$9,MATCH(C20,Parametreler!$A$5:$A$9,0))</f>
        <v>0.7</v>
      </c>
      <c r="G20" s="5" t="n">
        <f aca="false">INDEX(Parametreler!$C$5:$C$9,MATCH(C20,Parametreler!$A$5:$A$9,0))</f>
        <v>0.3</v>
      </c>
      <c r="H20" s="9" t="n">
        <f aca="false">SUMIFS(Hedefler!$L$2:$L$400,Hedefler!$A$2:$A$400,A20)</f>
        <v>67.1701203871663</v>
      </c>
      <c r="I20" s="9" t="n">
        <f aca="false">AVERAGEIFS(Yetkinlikler!$J$2:$J$600,Yetkinlikler!$A$2:$A$600,A20)/5*100</f>
        <v>72</v>
      </c>
      <c r="J20" s="9" t="n">
        <f aca="false">H20*F20+I20*G20</f>
        <v>68.6190842710164</v>
      </c>
      <c r="K20" s="4" t="str">
        <f aca="false">IF(J20&gt;=100,"Yıldız",IF(J20&gt;=85,"Güçlü",IF(J20&gt;=70,"Beklenen","Gelişim Alanı")))</f>
        <v>Gelişim Alanı</v>
      </c>
      <c r="L20" s="9" t="n">
        <f aca="false">AVERAGEIFS(Yetkinlikler!$K$2:$K$600,Yetkinlikler!$A$2:$A$600,A20)</f>
        <v>0.1</v>
      </c>
    </row>
    <row r="21" customFormat="false" ht="15" hidden="false" customHeight="false" outlineLevel="0" collapsed="false">
      <c r="A21" s="4" t="s">
        <v>75</v>
      </c>
      <c r="B21" s="4" t="s">
        <v>76</v>
      </c>
      <c r="C21" s="4" t="s">
        <v>5</v>
      </c>
      <c r="D21" s="4" t="s">
        <v>67</v>
      </c>
      <c r="E21" s="4" t="s">
        <v>68</v>
      </c>
      <c r="F21" s="5" t="n">
        <f aca="false">INDEX(Parametreler!$B$5:$B$9,MATCH(C21,Parametreler!$A$5:$A$9,0))</f>
        <v>0.7</v>
      </c>
      <c r="G21" s="5" t="n">
        <f aca="false">INDEX(Parametreler!$C$5:$C$9,MATCH(C21,Parametreler!$A$5:$A$9,0))</f>
        <v>0.3</v>
      </c>
      <c r="H21" s="9" t="n">
        <f aca="false">SUMIFS(Hedefler!$L$2:$L$400,Hedefler!$A$2:$A$400,A21)</f>
        <v>114.740414979757</v>
      </c>
      <c r="I21" s="9" t="n">
        <f aca="false">AVERAGEIFS(Yetkinlikler!$J$2:$J$600,Yetkinlikler!$A$2:$A$600,A21)/5*100</f>
        <v>94</v>
      </c>
      <c r="J21" s="9" t="n">
        <f aca="false">H21*F21+I21*G21</f>
        <v>108.51829048583</v>
      </c>
      <c r="K21" s="4" t="str">
        <f aca="false">IF(J21&gt;=100,"Yıldız",IF(J21&gt;=85,"Güçlü",IF(J21&gt;=70,"Beklenen","Gelişim Alanı")))</f>
        <v>Yıldız</v>
      </c>
      <c r="L21" s="9" t="n">
        <f aca="false">AVERAGEIFS(Yetkinlikler!$K$2:$K$600,Yetkinlikler!$A$2:$A$600,A21)</f>
        <v>0.2</v>
      </c>
    </row>
    <row r="22" customFormat="false" ht="15" hidden="false" customHeight="false" outlineLevel="0" collapsed="false">
      <c r="A22" s="4" t="s">
        <v>77</v>
      </c>
      <c r="B22" s="4" t="s">
        <v>78</v>
      </c>
      <c r="C22" s="4" t="s">
        <v>7</v>
      </c>
      <c r="D22" s="4" t="s">
        <v>79</v>
      </c>
      <c r="E22" s="4" t="s">
        <v>68</v>
      </c>
      <c r="F22" s="5" t="n">
        <f aca="false">INDEX(Parametreler!$B$5:$B$9,MATCH(C22,Parametreler!$A$5:$A$9,0))</f>
        <v>0.6</v>
      </c>
      <c r="G22" s="5" t="n">
        <f aca="false">INDEX(Parametreler!$C$5:$C$9,MATCH(C22,Parametreler!$A$5:$A$9,0))</f>
        <v>0.4</v>
      </c>
      <c r="H22" s="9" t="n">
        <f aca="false">SUMIFS(Hedefler!$L$2:$L$400,Hedefler!$A$2:$A$400,A22)</f>
        <v>88.7354248757675</v>
      </c>
      <c r="I22" s="9" t="n">
        <f aca="false">AVERAGEIFS(Yetkinlikler!$J$2:$J$600,Yetkinlikler!$A$2:$A$600,A22)/5*100</f>
        <v>91.4285714285714</v>
      </c>
      <c r="J22" s="9" t="n">
        <f aca="false">H22*F22+I22*G22</f>
        <v>89.812683496889</v>
      </c>
      <c r="K22" s="4" t="str">
        <f aca="false">IF(J22&gt;=100,"Yıldız",IF(J22&gt;=85,"Güçlü",IF(J22&gt;=70,"Beklenen","Gelişim Alanı")))</f>
        <v>Güçlü</v>
      </c>
      <c r="L22" s="9" t="n">
        <f aca="false">AVERAGEIFS(Yetkinlikler!$K$2:$K$600,Yetkinlikler!$A$2:$A$600,A22)</f>
        <v>0.285714285714286</v>
      </c>
    </row>
    <row r="23" customFormat="false" ht="15" hidden="false" customHeight="false" outlineLevel="0" collapsed="false">
      <c r="A23" s="4" t="s">
        <v>80</v>
      </c>
      <c r="B23" s="4" t="s">
        <v>81</v>
      </c>
      <c r="C23" s="4" t="s">
        <v>5</v>
      </c>
      <c r="D23" s="4" t="s">
        <v>79</v>
      </c>
      <c r="E23" s="4" t="s">
        <v>68</v>
      </c>
      <c r="F23" s="5" t="n">
        <f aca="false">INDEX(Parametreler!$B$5:$B$9,MATCH(C23,Parametreler!$A$5:$A$9,0))</f>
        <v>0.7</v>
      </c>
      <c r="G23" s="5" t="n">
        <f aca="false">INDEX(Parametreler!$C$5:$C$9,MATCH(C23,Parametreler!$A$5:$A$9,0))</f>
        <v>0.3</v>
      </c>
      <c r="H23" s="9" t="n">
        <f aca="false">SUMIFS(Hedefler!$L$2:$L$400,Hedefler!$A$2:$A$400,A23)</f>
        <v>111.650045787546</v>
      </c>
      <c r="I23" s="9" t="n">
        <f aca="false">AVERAGEIFS(Yetkinlikler!$J$2:$J$600,Yetkinlikler!$A$2:$A$600,A23)/5*100</f>
        <v>96</v>
      </c>
      <c r="J23" s="9" t="n">
        <f aca="false">H23*F23+I23*G23</f>
        <v>106.955032051282</v>
      </c>
      <c r="K23" s="4" t="str">
        <f aca="false">IF(J23&gt;=100,"Yıldız",IF(J23&gt;=85,"Güçlü",IF(J23&gt;=70,"Beklenen","Gelişim Alanı")))</f>
        <v>Yıldız</v>
      </c>
      <c r="L23" s="9" t="n">
        <f aca="false">AVERAGEIFS(Yetkinlikler!$K$2:$K$600,Yetkinlikler!$A$2:$A$600,A23)</f>
        <v>-0.1</v>
      </c>
    </row>
    <row r="24" customFormat="false" ht="15" hidden="false" customHeight="false" outlineLevel="0" collapsed="false">
      <c r="A24" s="4" t="s">
        <v>82</v>
      </c>
      <c r="B24" s="4" t="s">
        <v>83</v>
      </c>
      <c r="C24" s="4" t="s">
        <v>5</v>
      </c>
      <c r="D24" s="4" t="s">
        <v>79</v>
      </c>
      <c r="E24" s="4" t="s">
        <v>68</v>
      </c>
      <c r="F24" s="5" t="n">
        <f aca="false">INDEX(Parametreler!$B$5:$B$9,MATCH(C24,Parametreler!$A$5:$A$9,0))</f>
        <v>0.7</v>
      </c>
      <c r="G24" s="5" t="n">
        <f aca="false">INDEX(Parametreler!$C$5:$C$9,MATCH(C24,Parametreler!$A$5:$A$9,0))</f>
        <v>0.3</v>
      </c>
      <c r="H24" s="9" t="n">
        <f aca="false">SUMIFS(Hedefler!$L$2:$L$400,Hedefler!$A$2:$A$400,A24)</f>
        <v>104.957830620692</v>
      </c>
      <c r="I24" s="9" t="n">
        <f aca="false">AVERAGEIFS(Yetkinlikler!$J$2:$J$600,Yetkinlikler!$A$2:$A$600,A24)/5*100</f>
        <v>96</v>
      </c>
      <c r="J24" s="9" t="n">
        <f aca="false">H24*F24+I24*G24</f>
        <v>102.270481434484</v>
      </c>
      <c r="K24" s="4" t="str">
        <f aca="false">IF(J24&gt;=100,"Yıldız",IF(J24&gt;=85,"Güçlü",IF(J24&gt;=70,"Beklenen","Gelişim Alanı")))</f>
        <v>Yıldız</v>
      </c>
      <c r="L24" s="9" t="n">
        <f aca="false">AVERAGEIFS(Yetkinlikler!$K$2:$K$600,Yetkinlikler!$A$2:$A$600,A24)</f>
        <v>0</v>
      </c>
    </row>
    <row r="25" customFormat="false" ht="15" hidden="false" customHeight="false" outlineLevel="0" collapsed="false">
      <c r="A25" s="4" t="s">
        <v>84</v>
      </c>
      <c r="B25" s="4" t="s">
        <v>85</v>
      </c>
      <c r="C25" s="4" t="s">
        <v>5</v>
      </c>
      <c r="D25" s="4" t="s">
        <v>79</v>
      </c>
      <c r="E25" s="4" t="s">
        <v>68</v>
      </c>
      <c r="F25" s="5" t="n">
        <f aca="false">INDEX(Parametreler!$B$5:$B$9,MATCH(C25,Parametreler!$A$5:$A$9,0))</f>
        <v>0.7</v>
      </c>
      <c r="G25" s="5" t="n">
        <f aca="false">INDEX(Parametreler!$C$5:$C$9,MATCH(C25,Parametreler!$A$5:$A$9,0))</f>
        <v>0.3</v>
      </c>
      <c r="H25" s="9" t="n">
        <f aca="false">SUMIFS(Hedefler!$L$2:$L$400,Hedefler!$A$2:$A$400,A25)</f>
        <v>91.2382410515109</v>
      </c>
      <c r="I25" s="9" t="n">
        <f aca="false">AVERAGEIFS(Yetkinlikler!$J$2:$J$600,Yetkinlikler!$A$2:$A$600,A25)/5*100</f>
        <v>86</v>
      </c>
      <c r="J25" s="9" t="n">
        <f aca="false">H25*F25+I25*G25</f>
        <v>89.6667687360576</v>
      </c>
      <c r="K25" s="4" t="str">
        <f aca="false">IF(J25&gt;=100,"Yıldız",IF(J25&gt;=85,"Güçlü",IF(J25&gt;=70,"Beklenen","Gelişim Alanı")))</f>
        <v>Güçlü</v>
      </c>
      <c r="L25" s="9" t="n">
        <f aca="false">AVERAGEIFS(Yetkinlikler!$K$2:$K$600,Yetkinlikler!$A$2:$A$600,A25)</f>
        <v>0.3</v>
      </c>
    </row>
    <row r="26" customFormat="false" ht="15" hidden="false" customHeight="false" outlineLevel="0" collapsed="false">
      <c r="A26" s="4" t="s">
        <v>86</v>
      </c>
      <c r="B26" s="4" t="s">
        <v>87</v>
      </c>
      <c r="C26" s="4" t="s">
        <v>7</v>
      </c>
      <c r="D26" s="4" t="s">
        <v>88</v>
      </c>
      <c r="E26" s="4" t="s">
        <v>68</v>
      </c>
      <c r="F26" s="5" t="n">
        <f aca="false">INDEX(Parametreler!$B$5:$B$9,MATCH(C26,Parametreler!$A$5:$A$9,0))</f>
        <v>0.6</v>
      </c>
      <c r="G26" s="5" t="n">
        <f aca="false">INDEX(Parametreler!$C$5:$C$9,MATCH(C26,Parametreler!$A$5:$A$9,0))</f>
        <v>0.4</v>
      </c>
      <c r="H26" s="9" t="n">
        <f aca="false">SUMIFS(Hedefler!$L$2:$L$400,Hedefler!$A$2:$A$400,A26)</f>
        <v>96.1653949459706</v>
      </c>
      <c r="I26" s="9" t="n">
        <f aca="false">AVERAGEIFS(Yetkinlikler!$J$2:$J$600,Yetkinlikler!$A$2:$A$600,A26)/5*100</f>
        <v>88.5714285714286</v>
      </c>
      <c r="J26" s="9" t="n">
        <f aca="false">H26*F26+I26*G26</f>
        <v>93.1278083961538</v>
      </c>
      <c r="K26" s="4" t="str">
        <f aca="false">IF(J26&gt;=100,"Yıldız",IF(J26&gt;=85,"Güçlü",IF(J26&gt;=70,"Beklenen","Gelişim Alanı")))</f>
        <v>Güçlü</v>
      </c>
      <c r="L26" s="9" t="n">
        <f aca="false">AVERAGEIFS(Yetkinlikler!$K$2:$K$600,Yetkinlikler!$A$2:$A$600,A26)</f>
        <v>0.571428571428571</v>
      </c>
    </row>
    <row r="27" customFormat="false" ht="15" hidden="false" customHeight="false" outlineLevel="0" collapsed="false">
      <c r="A27" s="4" t="s">
        <v>89</v>
      </c>
      <c r="B27" s="4" t="s">
        <v>90</v>
      </c>
      <c r="C27" s="4" t="s">
        <v>5</v>
      </c>
      <c r="D27" s="4" t="s">
        <v>88</v>
      </c>
      <c r="E27" s="4" t="s">
        <v>68</v>
      </c>
      <c r="F27" s="5" t="n">
        <f aca="false">INDEX(Parametreler!$B$5:$B$9,MATCH(C27,Parametreler!$A$5:$A$9,0))</f>
        <v>0.7</v>
      </c>
      <c r="G27" s="5" t="n">
        <f aca="false">INDEX(Parametreler!$C$5:$C$9,MATCH(C27,Parametreler!$A$5:$A$9,0))</f>
        <v>0.3</v>
      </c>
      <c r="H27" s="9" t="n">
        <f aca="false">SUMIFS(Hedefler!$L$2:$L$400,Hedefler!$A$2:$A$400,A27)</f>
        <v>105.74306540234</v>
      </c>
      <c r="I27" s="9" t="n">
        <f aca="false">AVERAGEIFS(Yetkinlikler!$J$2:$J$600,Yetkinlikler!$A$2:$A$600,A27)/5*100</f>
        <v>100</v>
      </c>
      <c r="J27" s="9" t="n">
        <f aca="false">H27*F27+I27*G27</f>
        <v>104.020145781638</v>
      </c>
      <c r="K27" s="4" t="str">
        <f aca="false">IF(J27&gt;=100,"Yıldız",IF(J27&gt;=85,"Güçlü",IF(J27&gt;=70,"Beklenen","Gelişim Alanı")))</f>
        <v>Yıldız</v>
      </c>
      <c r="L27" s="9" t="n">
        <f aca="false">AVERAGEIFS(Yetkinlikler!$K$2:$K$600,Yetkinlikler!$A$2:$A$600,A27)</f>
        <v>-0.3</v>
      </c>
    </row>
    <row r="28" customFormat="false" ht="15" hidden="false" customHeight="false" outlineLevel="0" collapsed="false">
      <c r="A28" s="4" t="s">
        <v>91</v>
      </c>
      <c r="B28" s="4" t="s">
        <v>92</v>
      </c>
      <c r="C28" s="4" t="s">
        <v>5</v>
      </c>
      <c r="D28" s="4" t="s">
        <v>88</v>
      </c>
      <c r="E28" s="4" t="s">
        <v>68</v>
      </c>
      <c r="F28" s="5" t="n">
        <f aca="false">INDEX(Parametreler!$B$5:$B$9,MATCH(C28,Parametreler!$A$5:$A$9,0))</f>
        <v>0.7</v>
      </c>
      <c r="G28" s="5" t="n">
        <f aca="false">INDEX(Parametreler!$C$5:$C$9,MATCH(C28,Parametreler!$A$5:$A$9,0))</f>
        <v>0.3</v>
      </c>
      <c r="H28" s="9" t="n">
        <f aca="false">SUMIFS(Hedefler!$L$2:$L$400,Hedefler!$A$2:$A$400,A28)</f>
        <v>102.359776281516</v>
      </c>
      <c r="I28" s="9" t="n">
        <f aca="false">AVERAGEIFS(Yetkinlikler!$J$2:$J$600,Yetkinlikler!$A$2:$A$600,A28)/5*100</f>
        <v>100</v>
      </c>
      <c r="J28" s="9" t="n">
        <f aca="false">H28*F28+I28*G28</f>
        <v>101.651843397061</v>
      </c>
      <c r="K28" s="4" t="str">
        <f aca="false">IF(J28&gt;=100,"Yıldız",IF(J28&gt;=85,"Güçlü",IF(J28&gt;=70,"Beklenen","Gelişim Alanı")))</f>
        <v>Yıldız</v>
      </c>
      <c r="L28" s="9" t="n">
        <f aca="false">AVERAGEIFS(Yetkinlikler!$K$2:$K$600,Yetkinlikler!$A$2:$A$600,A28)</f>
        <v>-0.1</v>
      </c>
    </row>
    <row r="29" customFormat="false" ht="15" hidden="false" customHeight="false" outlineLevel="0" collapsed="false">
      <c r="A29" s="4" t="s">
        <v>93</v>
      </c>
      <c r="B29" s="4" t="s">
        <v>94</v>
      </c>
      <c r="C29" s="4" t="s">
        <v>5</v>
      </c>
      <c r="D29" s="4" t="s">
        <v>88</v>
      </c>
      <c r="E29" s="4" t="s">
        <v>68</v>
      </c>
      <c r="F29" s="5" t="n">
        <f aca="false">INDEX(Parametreler!$B$5:$B$9,MATCH(C29,Parametreler!$A$5:$A$9,0))</f>
        <v>0.7</v>
      </c>
      <c r="G29" s="5" t="n">
        <f aca="false">INDEX(Parametreler!$C$5:$C$9,MATCH(C29,Parametreler!$A$5:$A$9,0))</f>
        <v>0.3</v>
      </c>
      <c r="H29" s="9" t="n">
        <f aca="false">SUMIFS(Hedefler!$L$2:$L$400,Hedefler!$A$2:$A$400,A29)</f>
        <v>103.010612912066</v>
      </c>
      <c r="I29" s="9" t="n">
        <f aca="false">AVERAGEIFS(Yetkinlikler!$J$2:$J$600,Yetkinlikler!$A$2:$A$600,A29)/5*100</f>
        <v>100</v>
      </c>
      <c r="J29" s="9" t="n">
        <f aca="false">H29*F29+I29*G29</f>
        <v>102.107429038446</v>
      </c>
      <c r="K29" s="4" t="str">
        <f aca="false">IF(J29&gt;=100,"Yıldız",IF(J29&gt;=85,"Güçlü",IF(J29&gt;=70,"Beklenen","Gelişim Alanı")))</f>
        <v>Yıldız</v>
      </c>
      <c r="L29" s="9" t="n">
        <f aca="false">AVERAGEIFS(Yetkinlikler!$K$2:$K$600,Yetkinlikler!$A$2:$A$600,A29)</f>
        <v>-0.2</v>
      </c>
    </row>
    <row r="30" customFormat="false" ht="15" hidden="false" customHeight="false" outlineLevel="0" collapsed="false">
      <c r="A30" s="4" t="s">
        <v>95</v>
      </c>
      <c r="B30" s="4" t="s">
        <v>96</v>
      </c>
      <c r="C30" s="4" t="s">
        <v>7</v>
      </c>
      <c r="D30" s="4" t="s">
        <v>97</v>
      </c>
      <c r="E30" s="4" t="s">
        <v>98</v>
      </c>
      <c r="F30" s="5" t="n">
        <f aca="false">INDEX(Parametreler!$B$5:$B$9,MATCH(C30,Parametreler!$A$5:$A$9,0))</f>
        <v>0.6</v>
      </c>
      <c r="G30" s="5" t="n">
        <f aca="false">INDEX(Parametreler!$C$5:$C$9,MATCH(C30,Parametreler!$A$5:$A$9,0))</f>
        <v>0.4</v>
      </c>
      <c r="H30" s="9" t="n">
        <f aca="false">SUMIFS(Hedefler!$L$2:$L$400,Hedefler!$A$2:$A$400,A30)</f>
        <v>65.9813441374939</v>
      </c>
      <c r="I30" s="9" t="n">
        <f aca="false">AVERAGEIFS(Yetkinlikler!$J$2:$J$600,Yetkinlikler!$A$2:$A$600,A30)/5*100</f>
        <v>77.1428571428572</v>
      </c>
      <c r="J30" s="9" t="n">
        <f aca="false">H30*F30+I30*G30</f>
        <v>70.4459493396392</v>
      </c>
      <c r="K30" s="4" t="str">
        <f aca="false">IF(J30&gt;=100,"Yıldız",IF(J30&gt;=85,"Güçlü",IF(J30&gt;=70,"Beklenen","Gelişim Alanı")))</f>
        <v>Beklenen</v>
      </c>
      <c r="L30" s="9" t="n">
        <f aca="false">AVERAGEIFS(Yetkinlikler!$K$2:$K$600,Yetkinlikler!$A$2:$A$600,A30)</f>
        <v>0.285714285714286</v>
      </c>
    </row>
    <row r="31" customFormat="false" ht="15" hidden="false" customHeight="false" outlineLevel="0" collapsed="false">
      <c r="A31" s="4" t="s">
        <v>99</v>
      </c>
      <c r="B31" s="4" t="s">
        <v>100</v>
      </c>
      <c r="C31" s="4" t="s">
        <v>5</v>
      </c>
      <c r="D31" s="4" t="s">
        <v>97</v>
      </c>
      <c r="E31" s="4" t="s">
        <v>98</v>
      </c>
      <c r="F31" s="5" t="n">
        <f aca="false">INDEX(Parametreler!$B$5:$B$9,MATCH(C31,Parametreler!$A$5:$A$9,0))</f>
        <v>0.7</v>
      </c>
      <c r="G31" s="5" t="n">
        <f aca="false">INDEX(Parametreler!$C$5:$C$9,MATCH(C31,Parametreler!$A$5:$A$9,0))</f>
        <v>0.3</v>
      </c>
      <c r="H31" s="9" t="n">
        <f aca="false">SUMIFS(Hedefler!$L$2:$L$400,Hedefler!$A$2:$A$400,A31)</f>
        <v>85.6023213631451</v>
      </c>
      <c r="I31" s="9" t="n">
        <f aca="false">AVERAGEIFS(Yetkinlikler!$J$2:$J$600,Yetkinlikler!$A$2:$A$600,A31)/5*100</f>
        <v>70</v>
      </c>
      <c r="J31" s="9" t="n">
        <f aca="false">H31*F31+I31*G31</f>
        <v>80.9216249542016</v>
      </c>
      <c r="K31" s="4" t="str">
        <f aca="false">IF(J31&gt;=100,"Yıldız",IF(J31&gt;=85,"Güçlü",IF(J31&gt;=70,"Beklenen","Gelişim Alanı")))</f>
        <v>Beklenen</v>
      </c>
      <c r="L31" s="9" t="n">
        <f aca="false">AVERAGEIFS(Yetkinlikler!$K$2:$K$600,Yetkinlikler!$A$2:$A$600,A31)</f>
        <v>0.2</v>
      </c>
    </row>
    <row r="32" customFormat="false" ht="15" hidden="false" customHeight="false" outlineLevel="0" collapsed="false">
      <c r="A32" s="4" t="s">
        <v>101</v>
      </c>
      <c r="B32" s="4" t="s">
        <v>102</v>
      </c>
      <c r="C32" s="4" t="s">
        <v>5</v>
      </c>
      <c r="D32" s="4" t="s">
        <v>97</v>
      </c>
      <c r="E32" s="4" t="s">
        <v>98</v>
      </c>
      <c r="F32" s="5" t="n">
        <f aca="false">INDEX(Parametreler!$B$5:$B$9,MATCH(C32,Parametreler!$A$5:$A$9,0))</f>
        <v>0.7</v>
      </c>
      <c r="G32" s="5" t="n">
        <f aca="false">INDEX(Parametreler!$C$5:$C$9,MATCH(C32,Parametreler!$A$5:$A$9,0))</f>
        <v>0.3</v>
      </c>
      <c r="H32" s="9" t="n">
        <f aca="false">SUMIFS(Hedefler!$L$2:$L$400,Hedefler!$A$2:$A$400,A32)</f>
        <v>70.357821969697</v>
      </c>
      <c r="I32" s="9" t="n">
        <f aca="false">AVERAGEIFS(Yetkinlikler!$J$2:$J$600,Yetkinlikler!$A$2:$A$600,A32)/5*100</f>
        <v>70</v>
      </c>
      <c r="J32" s="9" t="n">
        <f aca="false">H32*F32+I32*G32</f>
        <v>70.2504753787879</v>
      </c>
      <c r="K32" s="4" t="str">
        <f aca="false">IF(J32&gt;=100,"Yıldız",IF(J32&gt;=85,"Güçlü",IF(J32&gt;=70,"Beklenen","Gelişim Alanı")))</f>
        <v>Beklenen</v>
      </c>
      <c r="L32" s="9" t="n">
        <f aca="false">AVERAGEIFS(Yetkinlikler!$K$2:$K$600,Yetkinlikler!$A$2:$A$600,A32)</f>
        <v>0.2</v>
      </c>
    </row>
    <row r="33" customFormat="false" ht="15" hidden="false" customHeight="false" outlineLevel="0" collapsed="false">
      <c r="A33" s="4" t="s">
        <v>103</v>
      </c>
      <c r="B33" s="4" t="s">
        <v>104</v>
      </c>
      <c r="C33" s="4" t="s">
        <v>5</v>
      </c>
      <c r="D33" s="4" t="s">
        <v>97</v>
      </c>
      <c r="E33" s="4" t="s">
        <v>98</v>
      </c>
      <c r="F33" s="5" t="n">
        <f aca="false">INDEX(Parametreler!$B$5:$B$9,MATCH(C33,Parametreler!$A$5:$A$9,0))</f>
        <v>0.7</v>
      </c>
      <c r="G33" s="5" t="n">
        <f aca="false">INDEX(Parametreler!$C$5:$C$9,MATCH(C33,Parametreler!$A$5:$A$9,0))</f>
        <v>0.3</v>
      </c>
      <c r="H33" s="9" t="n">
        <f aca="false">SUMIFS(Hedefler!$L$2:$L$400,Hedefler!$A$2:$A$400,A33)</f>
        <v>73.7150251453414</v>
      </c>
      <c r="I33" s="9" t="n">
        <f aca="false">AVERAGEIFS(Yetkinlikler!$J$2:$J$600,Yetkinlikler!$A$2:$A$600,A33)/5*100</f>
        <v>72</v>
      </c>
      <c r="J33" s="9" t="n">
        <f aca="false">H33*F33+I33*G33</f>
        <v>73.200517601739</v>
      </c>
      <c r="K33" s="4" t="str">
        <f aca="false">IF(J33&gt;=100,"Yıldız",IF(J33&gt;=85,"Güçlü",IF(J33&gt;=70,"Beklenen","Gelişim Alanı")))</f>
        <v>Beklenen</v>
      </c>
      <c r="L33" s="9" t="n">
        <f aca="false">AVERAGEIFS(Yetkinlikler!$K$2:$K$600,Yetkinlikler!$A$2:$A$600,A33)</f>
        <v>0.1</v>
      </c>
    </row>
    <row r="34" customFormat="false" ht="15" hidden="false" customHeight="false" outlineLevel="0" collapsed="false">
      <c r="A34" s="4" t="s">
        <v>105</v>
      </c>
      <c r="B34" s="4" t="s">
        <v>106</v>
      </c>
      <c r="C34" s="4" t="s">
        <v>5</v>
      </c>
      <c r="D34" s="4" t="s">
        <v>97</v>
      </c>
      <c r="E34" s="4" t="s">
        <v>98</v>
      </c>
      <c r="F34" s="5" t="n">
        <f aca="false">INDEX(Parametreler!$B$5:$B$9,MATCH(C34,Parametreler!$A$5:$A$9,0))</f>
        <v>0.7</v>
      </c>
      <c r="G34" s="5" t="n">
        <f aca="false">INDEX(Parametreler!$C$5:$C$9,MATCH(C34,Parametreler!$A$5:$A$9,0))</f>
        <v>0.3</v>
      </c>
      <c r="H34" s="9" t="n">
        <f aca="false">SUMIFS(Hedefler!$L$2:$L$400,Hedefler!$A$2:$A$400,A34)</f>
        <v>71.2405715297113</v>
      </c>
      <c r="I34" s="9" t="n">
        <f aca="false">AVERAGEIFS(Yetkinlikler!$J$2:$J$600,Yetkinlikler!$A$2:$A$600,A34)/5*100</f>
        <v>72</v>
      </c>
      <c r="J34" s="9" t="n">
        <f aca="false">H34*F34+I34*G34</f>
        <v>71.4684000707979</v>
      </c>
      <c r="K34" s="4" t="str">
        <f aca="false">IF(J34&gt;=100,"Yıldız",IF(J34&gt;=85,"Güçlü",IF(J34&gt;=70,"Beklenen","Gelişim Alanı")))</f>
        <v>Beklenen</v>
      </c>
      <c r="L34" s="9" t="n">
        <f aca="false">AVERAGEIFS(Yetkinlikler!$K$2:$K$600,Yetkinlikler!$A$2:$A$600,A34)</f>
        <v>0.3</v>
      </c>
    </row>
    <row r="35" customFormat="false" ht="15" hidden="false" customHeight="false" outlineLevel="0" collapsed="false">
      <c r="A35" s="4" t="s">
        <v>107</v>
      </c>
      <c r="B35" s="4" t="s">
        <v>108</v>
      </c>
      <c r="C35" s="4" t="s">
        <v>7</v>
      </c>
      <c r="D35" s="4" t="s">
        <v>109</v>
      </c>
      <c r="E35" s="4" t="s">
        <v>98</v>
      </c>
      <c r="F35" s="5" t="n">
        <f aca="false">INDEX(Parametreler!$B$5:$B$9,MATCH(C35,Parametreler!$A$5:$A$9,0))</f>
        <v>0.6</v>
      </c>
      <c r="G35" s="5" t="n">
        <f aca="false">INDEX(Parametreler!$C$5:$C$9,MATCH(C35,Parametreler!$A$5:$A$9,0))</f>
        <v>0.4</v>
      </c>
      <c r="H35" s="9" t="n">
        <f aca="false">SUMIFS(Hedefler!$L$2:$L$400,Hedefler!$A$2:$A$400,A35)</f>
        <v>100.123432015756</v>
      </c>
      <c r="I35" s="9" t="n">
        <f aca="false">AVERAGEIFS(Yetkinlikler!$J$2:$J$600,Yetkinlikler!$A$2:$A$600,A35)/5*100</f>
        <v>97.1428571428571</v>
      </c>
      <c r="J35" s="9" t="n">
        <f aca="false">H35*F35+I35*G35</f>
        <v>98.9312020665967</v>
      </c>
      <c r="K35" s="4" t="str">
        <f aca="false">IF(J35&gt;=100,"Yıldız",IF(J35&gt;=85,"Güçlü",IF(J35&gt;=70,"Beklenen","Gelişim Alanı")))</f>
        <v>Güçlü</v>
      </c>
      <c r="L35" s="9" t="n">
        <f aca="false">AVERAGEIFS(Yetkinlikler!$K$2:$K$600,Yetkinlikler!$A$2:$A$600,A35)</f>
        <v>-0.142857142857143</v>
      </c>
    </row>
    <row r="36" customFormat="false" ht="15" hidden="false" customHeight="false" outlineLevel="0" collapsed="false">
      <c r="A36" s="4" t="s">
        <v>110</v>
      </c>
      <c r="B36" s="4" t="s">
        <v>111</v>
      </c>
      <c r="C36" s="4" t="s">
        <v>5</v>
      </c>
      <c r="D36" s="4" t="s">
        <v>109</v>
      </c>
      <c r="E36" s="4" t="s">
        <v>98</v>
      </c>
      <c r="F36" s="5" t="n">
        <f aca="false">INDEX(Parametreler!$B$5:$B$9,MATCH(C36,Parametreler!$A$5:$A$9,0))</f>
        <v>0.7</v>
      </c>
      <c r="G36" s="5" t="n">
        <f aca="false">INDEX(Parametreler!$C$5:$C$9,MATCH(C36,Parametreler!$A$5:$A$9,0))</f>
        <v>0.3</v>
      </c>
      <c r="H36" s="9" t="n">
        <f aca="false">SUMIFS(Hedefler!$L$2:$L$400,Hedefler!$A$2:$A$400,A36)</f>
        <v>64.4715151515152</v>
      </c>
      <c r="I36" s="9" t="n">
        <f aca="false">AVERAGEIFS(Yetkinlikler!$J$2:$J$600,Yetkinlikler!$A$2:$A$600,A36)/5*100</f>
        <v>74</v>
      </c>
      <c r="J36" s="9" t="n">
        <f aca="false">H36*F36+I36*G36</f>
        <v>67.3300606060606</v>
      </c>
      <c r="K36" s="4" t="str">
        <f aca="false">IF(J36&gt;=100,"Yıldız",IF(J36&gt;=85,"Güçlü",IF(J36&gt;=70,"Beklenen","Gelişim Alanı")))</f>
        <v>Gelişim Alanı</v>
      </c>
      <c r="L36" s="9" t="n">
        <f aca="false">AVERAGEIFS(Yetkinlikler!$K$2:$K$600,Yetkinlikler!$A$2:$A$600,A36)</f>
        <v>0</v>
      </c>
    </row>
    <row r="37" customFormat="false" ht="15" hidden="false" customHeight="false" outlineLevel="0" collapsed="false">
      <c r="A37" s="4" t="s">
        <v>112</v>
      </c>
      <c r="B37" s="4" t="s">
        <v>113</v>
      </c>
      <c r="C37" s="4" t="s">
        <v>5</v>
      </c>
      <c r="D37" s="4" t="s">
        <v>109</v>
      </c>
      <c r="E37" s="4" t="s">
        <v>98</v>
      </c>
      <c r="F37" s="5" t="n">
        <f aca="false">INDEX(Parametreler!$B$5:$B$9,MATCH(C37,Parametreler!$A$5:$A$9,0))</f>
        <v>0.7</v>
      </c>
      <c r="G37" s="5" t="n">
        <f aca="false">INDEX(Parametreler!$C$5:$C$9,MATCH(C37,Parametreler!$A$5:$A$9,0))</f>
        <v>0.3</v>
      </c>
      <c r="H37" s="9" t="n">
        <f aca="false">SUMIFS(Hedefler!$L$2:$L$400,Hedefler!$A$2:$A$400,A37)</f>
        <v>91.4462368532848</v>
      </c>
      <c r="I37" s="9" t="n">
        <f aca="false">AVERAGEIFS(Yetkinlikler!$J$2:$J$600,Yetkinlikler!$A$2:$A$600,A37)/5*100</f>
        <v>96</v>
      </c>
      <c r="J37" s="9" t="n">
        <f aca="false">H37*F37+I37*G37</f>
        <v>92.8123657972994</v>
      </c>
      <c r="K37" s="4" t="str">
        <f aca="false">IF(J37&gt;=100,"Yıldız",IF(J37&gt;=85,"Güçlü",IF(J37&gt;=70,"Beklenen","Gelişim Alanı")))</f>
        <v>Güçlü</v>
      </c>
      <c r="L37" s="9" t="n">
        <f aca="false">AVERAGEIFS(Yetkinlikler!$K$2:$K$600,Yetkinlikler!$A$2:$A$600,A37)</f>
        <v>-0.2</v>
      </c>
    </row>
    <row r="38" customFormat="false" ht="15" hidden="false" customHeight="false" outlineLevel="0" collapsed="false">
      <c r="A38" s="4" t="s">
        <v>114</v>
      </c>
      <c r="B38" s="4" t="s">
        <v>115</v>
      </c>
      <c r="C38" s="4" t="s">
        <v>5</v>
      </c>
      <c r="D38" s="4" t="s">
        <v>109</v>
      </c>
      <c r="E38" s="4" t="s">
        <v>98</v>
      </c>
      <c r="F38" s="5" t="n">
        <f aca="false">INDEX(Parametreler!$B$5:$B$9,MATCH(C38,Parametreler!$A$5:$A$9,0))</f>
        <v>0.7</v>
      </c>
      <c r="G38" s="5" t="n">
        <f aca="false">INDEX(Parametreler!$C$5:$C$9,MATCH(C38,Parametreler!$A$5:$A$9,0))</f>
        <v>0.3</v>
      </c>
      <c r="H38" s="9" t="n">
        <f aca="false">SUMIFS(Hedefler!$L$2:$L$400,Hedefler!$A$2:$A$400,A38)</f>
        <v>49.5144982452065</v>
      </c>
      <c r="I38" s="9" t="n">
        <f aca="false">AVERAGEIFS(Yetkinlikler!$J$2:$J$600,Yetkinlikler!$A$2:$A$600,A38)/5*100</f>
        <v>62</v>
      </c>
      <c r="J38" s="9" t="n">
        <f aca="false">H38*F38+I38*G38</f>
        <v>53.2601487716445</v>
      </c>
      <c r="K38" s="4" t="str">
        <f aca="false">IF(J38&gt;=100,"Yıldız",IF(J38&gt;=85,"Güçlü",IF(J38&gt;=70,"Beklenen","Gelişim Alanı")))</f>
        <v>Gelişim Alanı</v>
      </c>
      <c r="L38" s="9" t="n">
        <f aca="false">AVERAGEIFS(Yetkinlikler!$K$2:$K$600,Yetkinlikler!$A$2:$A$600,A38)</f>
        <v>0.3</v>
      </c>
    </row>
    <row r="39" customFormat="false" ht="15" hidden="false" customHeight="false" outlineLevel="0" collapsed="false">
      <c r="A39" s="4" t="s">
        <v>116</v>
      </c>
      <c r="B39" s="4" t="s">
        <v>117</v>
      </c>
      <c r="C39" s="4" t="s">
        <v>7</v>
      </c>
      <c r="D39" s="4" t="s">
        <v>118</v>
      </c>
      <c r="E39" s="4" t="s">
        <v>119</v>
      </c>
      <c r="F39" s="5" t="n">
        <f aca="false">INDEX(Parametreler!$B$5:$B$9,MATCH(C39,Parametreler!$A$5:$A$9,0))</f>
        <v>0.6</v>
      </c>
      <c r="G39" s="5" t="n">
        <f aca="false">INDEX(Parametreler!$C$5:$C$9,MATCH(C39,Parametreler!$A$5:$A$9,0))</f>
        <v>0.4</v>
      </c>
      <c r="H39" s="9" t="n">
        <f aca="false">SUMIFS(Hedefler!$L$2:$L$400,Hedefler!$A$2:$A$400,A39)</f>
        <v>87.9824976620742</v>
      </c>
      <c r="I39" s="9" t="n">
        <f aca="false">AVERAGEIFS(Yetkinlikler!$J$2:$J$600,Yetkinlikler!$A$2:$A$600,A39)/5*100</f>
        <v>82.8571428571429</v>
      </c>
      <c r="J39" s="9" t="n">
        <f aca="false">H39*F39+I39*G39</f>
        <v>85.9323557401017</v>
      </c>
      <c r="K39" s="4" t="str">
        <f aca="false">IF(J39&gt;=100,"Yıldız",IF(J39&gt;=85,"Güçlü",IF(J39&gt;=70,"Beklenen","Gelişim Alanı")))</f>
        <v>Güçlü</v>
      </c>
      <c r="L39" s="9" t="n">
        <f aca="false">AVERAGEIFS(Yetkinlikler!$K$2:$K$600,Yetkinlikler!$A$2:$A$600,A39)</f>
        <v>0.285714285714286</v>
      </c>
    </row>
    <row r="40" customFormat="false" ht="15" hidden="false" customHeight="false" outlineLevel="0" collapsed="false">
      <c r="A40" s="4" t="s">
        <v>120</v>
      </c>
      <c r="B40" s="4" t="s">
        <v>121</v>
      </c>
      <c r="C40" s="4" t="s">
        <v>5</v>
      </c>
      <c r="D40" s="4" t="s">
        <v>118</v>
      </c>
      <c r="E40" s="4" t="s">
        <v>119</v>
      </c>
      <c r="F40" s="5" t="n">
        <f aca="false">INDEX(Parametreler!$B$5:$B$9,MATCH(C40,Parametreler!$A$5:$A$9,0))</f>
        <v>0.7</v>
      </c>
      <c r="G40" s="5" t="n">
        <f aca="false">INDEX(Parametreler!$C$5:$C$9,MATCH(C40,Parametreler!$A$5:$A$9,0))</f>
        <v>0.3</v>
      </c>
      <c r="H40" s="9" t="n">
        <f aca="false">SUMIFS(Hedefler!$L$2:$L$400,Hedefler!$A$2:$A$400,A40)</f>
        <v>70.1163806733728</v>
      </c>
      <c r="I40" s="9" t="n">
        <f aca="false">AVERAGEIFS(Yetkinlikler!$J$2:$J$600,Yetkinlikler!$A$2:$A$600,A40)/5*100</f>
        <v>72</v>
      </c>
      <c r="J40" s="9" t="n">
        <f aca="false">H40*F40+I40*G40</f>
        <v>70.6814664713609</v>
      </c>
      <c r="K40" s="4" t="str">
        <f aca="false">IF(J40&gt;=100,"Yıldız",IF(J40&gt;=85,"Güçlü",IF(J40&gt;=70,"Beklenen","Gelişim Alanı")))</f>
        <v>Beklenen</v>
      </c>
      <c r="L40" s="9" t="n">
        <f aca="false">AVERAGEIFS(Yetkinlikler!$K$2:$K$600,Yetkinlikler!$A$2:$A$600,A40)</f>
        <v>-0.3</v>
      </c>
    </row>
    <row r="41" customFormat="false" ht="15" hidden="false" customHeight="false" outlineLevel="0" collapsed="false">
      <c r="A41" s="4" t="s">
        <v>122</v>
      </c>
      <c r="B41" s="4" t="s">
        <v>123</v>
      </c>
      <c r="C41" s="4" t="s">
        <v>5</v>
      </c>
      <c r="D41" s="4" t="s">
        <v>118</v>
      </c>
      <c r="E41" s="4" t="s">
        <v>119</v>
      </c>
      <c r="F41" s="5" t="n">
        <f aca="false">INDEX(Parametreler!$B$5:$B$9,MATCH(C41,Parametreler!$A$5:$A$9,0))</f>
        <v>0.7</v>
      </c>
      <c r="G41" s="5" t="n">
        <f aca="false">INDEX(Parametreler!$C$5:$C$9,MATCH(C41,Parametreler!$A$5:$A$9,0))</f>
        <v>0.3</v>
      </c>
      <c r="H41" s="9" t="n">
        <f aca="false">SUMIFS(Hedefler!$L$2:$L$400,Hedefler!$A$2:$A$400,A41)</f>
        <v>73.39471144787</v>
      </c>
      <c r="I41" s="9" t="n">
        <f aca="false">AVERAGEIFS(Yetkinlikler!$J$2:$J$600,Yetkinlikler!$A$2:$A$600,A41)/5*100</f>
        <v>70</v>
      </c>
      <c r="J41" s="9" t="n">
        <f aca="false">H41*F41+I41*G41</f>
        <v>72.376298013509</v>
      </c>
      <c r="K41" s="4" t="str">
        <f aca="false">IF(J41&gt;=100,"Yıldız",IF(J41&gt;=85,"Güçlü",IF(J41&gt;=70,"Beklenen","Gelişim Alanı")))</f>
        <v>Beklenen</v>
      </c>
      <c r="L41" s="9" t="n">
        <f aca="false">AVERAGEIFS(Yetkinlikler!$K$2:$K$600,Yetkinlikler!$A$2:$A$600,A41)</f>
        <v>0.1</v>
      </c>
    </row>
    <row r="42" customFormat="false" ht="15" hidden="false" customHeight="false" outlineLevel="0" collapsed="false">
      <c r="A42" s="4" t="s">
        <v>124</v>
      </c>
      <c r="B42" s="4" t="s">
        <v>125</v>
      </c>
      <c r="C42" s="4" t="s">
        <v>5</v>
      </c>
      <c r="D42" s="4" t="s">
        <v>118</v>
      </c>
      <c r="E42" s="4" t="s">
        <v>119</v>
      </c>
      <c r="F42" s="5" t="n">
        <f aca="false">INDEX(Parametreler!$B$5:$B$9,MATCH(C42,Parametreler!$A$5:$A$9,0))</f>
        <v>0.7</v>
      </c>
      <c r="G42" s="5" t="n">
        <f aca="false">INDEX(Parametreler!$C$5:$C$9,MATCH(C42,Parametreler!$A$5:$A$9,0))</f>
        <v>0.3</v>
      </c>
      <c r="H42" s="9" t="n">
        <f aca="false">SUMIFS(Hedefler!$L$2:$L$400,Hedefler!$A$2:$A$400,A42)</f>
        <v>65.0917006202332</v>
      </c>
      <c r="I42" s="9" t="n">
        <f aca="false">AVERAGEIFS(Yetkinlikler!$J$2:$J$600,Yetkinlikler!$A$2:$A$600,A42)/5*100</f>
        <v>72</v>
      </c>
      <c r="J42" s="9" t="n">
        <f aca="false">H42*F42+I42*G42</f>
        <v>67.1641904341633</v>
      </c>
      <c r="K42" s="4" t="str">
        <f aca="false">IF(J42&gt;=100,"Yıldız",IF(J42&gt;=85,"Güçlü",IF(J42&gt;=70,"Beklenen","Gelişim Alanı")))</f>
        <v>Gelişim Alanı</v>
      </c>
      <c r="L42" s="9" t="n">
        <f aca="false">AVERAGEIFS(Yetkinlikler!$K$2:$K$600,Yetkinlikler!$A$2:$A$600,A42)</f>
        <v>0.3</v>
      </c>
    </row>
    <row r="43" customFormat="false" ht="15" hidden="false" customHeight="false" outlineLevel="0" collapsed="false">
      <c r="A43" s="4" t="s">
        <v>126</v>
      </c>
      <c r="B43" s="4" t="s">
        <v>127</v>
      </c>
      <c r="C43" s="4" t="s">
        <v>5</v>
      </c>
      <c r="D43" s="4" t="s">
        <v>118</v>
      </c>
      <c r="E43" s="4" t="s">
        <v>119</v>
      </c>
      <c r="F43" s="5" t="n">
        <f aca="false">INDEX(Parametreler!$B$5:$B$9,MATCH(C43,Parametreler!$A$5:$A$9,0))</f>
        <v>0.7</v>
      </c>
      <c r="G43" s="5" t="n">
        <f aca="false">INDEX(Parametreler!$C$5:$C$9,MATCH(C43,Parametreler!$A$5:$A$9,0))</f>
        <v>0.3</v>
      </c>
      <c r="H43" s="9" t="n">
        <f aca="false">SUMIFS(Hedefler!$L$2:$L$400,Hedefler!$A$2:$A$400,A43)</f>
        <v>82.2591049301576</v>
      </c>
      <c r="I43" s="9" t="n">
        <f aca="false">AVERAGEIFS(Yetkinlikler!$J$2:$J$600,Yetkinlikler!$A$2:$A$600,A43)/5*100</f>
        <v>82</v>
      </c>
      <c r="J43" s="9" t="n">
        <f aca="false">H43*F43+I43*G43</f>
        <v>82.1813734511103</v>
      </c>
      <c r="K43" s="4" t="str">
        <f aca="false">IF(J43&gt;=100,"Yıldız",IF(J43&gt;=85,"Güçlü",IF(J43&gt;=70,"Beklenen","Gelişim Alanı")))</f>
        <v>Beklenen</v>
      </c>
      <c r="L43" s="9" t="n">
        <f aca="false">AVERAGEIFS(Yetkinlikler!$K$2:$K$600,Yetkinlikler!$A$2:$A$600,A43)</f>
        <v>0</v>
      </c>
    </row>
    <row r="44" customFormat="false" ht="15" hidden="false" customHeight="false" outlineLevel="0" collapsed="false">
      <c r="A44" s="4" t="s">
        <v>128</v>
      </c>
      <c r="B44" s="4" t="s">
        <v>129</v>
      </c>
      <c r="C44" s="4" t="s">
        <v>7</v>
      </c>
      <c r="D44" s="4" t="s">
        <v>130</v>
      </c>
      <c r="E44" s="4" t="s">
        <v>119</v>
      </c>
      <c r="F44" s="5" t="n">
        <f aca="false">INDEX(Parametreler!$B$5:$B$9,MATCH(C44,Parametreler!$A$5:$A$9,0))</f>
        <v>0.6</v>
      </c>
      <c r="G44" s="5" t="n">
        <f aca="false">INDEX(Parametreler!$C$5:$C$9,MATCH(C44,Parametreler!$A$5:$A$9,0))</f>
        <v>0.4</v>
      </c>
      <c r="H44" s="9" t="n">
        <f aca="false">SUMIFS(Hedefler!$L$2:$L$400,Hedefler!$A$2:$A$400,A44)</f>
        <v>90.7320546927428</v>
      </c>
      <c r="I44" s="9" t="n">
        <f aca="false">AVERAGEIFS(Yetkinlikler!$J$2:$J$600,Yetkinlikler!$A$2:$A$600,A44)/5*100</f>
        <v>88.5714285714286</v>
      </c>
      <c r="J44" s="9" t="n">
        <f aca="false">H44*F44+I44*G44</f>
        <v>89.8678042442171</v>
      </c>
      <c r="K44" s="4" t="str">
        <f aca="false">IF(J44&gt;=100,"Yıldız",IF(J44&gt;=85,"Güçlü",IF(J44&gt;=70,"Beklenen","Gelişim Alanı")))</f>
        <v>Güçlü</v>
      </c>
      <c r="L44" s="9" t="n">
        <f aca="false">AVERAGEIFS(Yetkinlikler!$K$2:$K$600,Yetkinlikler!$A$2:$A$600,A44)</f>
        <v>0</v>
      </c>
    </row>
    <row r="45" customFormat="false" ht="15" hidden="false" customHeight="false" outlineLevel="0" collapsed="false">
      <c r="A45" s="4" t="s">
        <v>131</v>
      </c>
      <c r="B45" s="4" t="s">
        <v>132</v>
      </c>
      <c r="C45" s="4" t="s">
        <v>5</v>
      </c>
      <c r="D45" s="4" t="s">
        <v>130</v>
      </c>
      <c r="E45" s="4" t="s">
        <v>119</v>
      </c>
      <c r="F45" s="5" t="n">
        <f aca="false">INDEX(Parametreler!$B$5:$B$9,MATCH(C45,Parametreler!$A$5:$A$9,0))</f>
        <v>0.7</v>
      </c>
      <c r="G45" s="5" t="n">
        <f aca="false">INDEX(Parametreler!$C$5:$C$9,MATCH(C45,Parametreler!$A$5:$A$9,0))</f>
        <v>0.3</v>
      </c>
      <c r="H45" s="9" t="n">
        <f aca="false">SUMIFS(Hedefler!$L$2:$L$400,Hedefler!$A$2:$A$400,A45)</f>
        <v>70.9496274043884</v>
      </c>
      <c r="I45" s="9" t="n">
        <f aca="false">AVERAGEIFS(Yetkinlikler!$J$2:$J$600,Yetkinlikler!$A$2:$A$600,A45)/5*100</f>
        <v>76</v>
      </c>
      <c r="J45" s="9" t="n">
        <f aca="false">H45*F45+I45*G45</f>
        <v>72.4647391830719</v>
      </c>
      <c r="K45" s="4" t="str">
        <f aca="false">IF(J45&gt;=100,"Yıldız",IF(J45&gt;=85,"Güçlü",IF(J45&gt;=70,"Beklenen","Gelişim Alanı")))</f>
        <v>Beklenen</v>
      </c>
      <c r="L45" s="9" t="n">
        <f aca="false">AVERAGEIFS(Yetkinlikler!$K$2:$K$600,Yetkinlikler!$A$2:$A$600,A45)</f>
        <v>0.1</v>
      </c>
    </row>
    <row r="46" customFormat="false" ht="15" hidden="false" customHeight="false" outlineLevel="0" collapsed="false">
      <c r="A46" s="4" t="s">
        <v>133</v>
      </c>
      <c r="B46" s="4" t="s">
        <v>134</v>
      </c>
      <c r="C46" s="4" t="s">
        <v>5</v>
      </c>
      <c r="D46" s="4" t="s">
        <v>130</v>
      </c>
      <c r="E46" s="4" t="s">
        <v>119</v>
      </c>
      <c r="F46" s="5" t="n">
        <f aca="false">INDEX(Parametreler!$B$5:$B$9,MATCH(C46,Parametreler!$A$5:$A$9,0))</f>
        <v>0.7</v>
      </c>
      <c r="G46" s="5" t="n">
        <f aca="false">INDEX(Parametreler!$C$5:$C$9,MATCH(C46,Parametreler!$A$5:$A$9,0))</f>
        <v>0.3</v>
      </c>
      <c r="H46" s="9" t="n">
        <f aca="false">SUMIFS(Hedefler!$L$2:$L$400,Hedefler!$A$2:$A$400,A46)</f>
        <v>80.7158932213547</v>
      </c>
      <c r="I46" s="9" t="n">
        <f aca="false">AVERAGEIFS(Yetkinlikler!$J$2:$J$600,Yetkinlikler!$A$2:$A$600,A46)/5*100</f>
        <v>82</v>
      </c>
      <c r="J46" s="9" t="n">
        <f aca="false">H46*F46+I46*G46</f>
        <v>81.1011252549483</v>
      </c>
      <c r="K46" s="4" t="str">
        <f aca="false">IF(J46&gt;=100,"Yıldız",IF(J46&gt;=85,"Güçlü",IF(J46&gt;=70,"Beklenen","Gelişim Alanı")))</f>
        <v>Beklenen</v>
      </c>
      <c r="L46" s="9" t="n">
        <f aca="false">AVERAGEIFS(Yetkinlikler!$K$2:$K$600,Yetkinlikler!$A$2:$A$600,A46)</f>
        <v>0.5</v>
      </c>
    </row>
    <row r="47" customFormat="false" ht="15" hidden="false" customHeight="false" outlineLevel="0" collapsed="false">
      <c r="A47" s="4" t="s">
        <v>135</v>
      </c>
      <c r="B47" s="4" t="s">
        <v>136</v>
      </c>
      <c r="C47" s="4" t="s">
        <v>5</v>
      </c>
      <c r="D47" s="4" t="s">
        <v>130</v>
      </c>
      <c r="E47" s="4" t="s">
        <v>119</v>
      </c>
      <c r="F47" s="5" t="n">
        <f aca="false">INDEX(Parametreler!$B$5:$B$9,MATCH(C47,Parametreler!$A$5:$A$9,0))</f>
        <v>0.7</v>
      </c>
      <c r="G47" s="5" t="n">
        <f aca="false">INDEX(Parametreler!$C$5:$C$9,MATCH(C47,Parametreler!$A$5:$A$9,0))</f>
        <v>0.3</v>
      </c>
      <c r="H47" s="9" t="n">
        <f aca="false">SUMIFS(Hedefler!$L$2:$L$400,Hedefler!$A$2:$A$400,A47)</f>
        <v>67.2168631100083</v>
      </c>
      <c r="I47" s="9" t="n">
        <f aca="false">AVERAGEIFS(Yetkinlikler!$J$2:$J$600,Yetkinlikler!$A$2:$A$600,A47)/5*100</f>
        <v>72</v>
      </c>
      <c r="J47" s="9" t="n">
        <f aca="false">H47*F47+I47*G47</f>
        <v>68.6518041770058</v>
      </c>
      <c r="K47" s="4" t="str">
        <f aca="false">IF(J47&gt;=100,"Yıldız",IF(J47&gt;=85,"Güçlü",IF(J47&gt;=70,"Beklenen","Gelişim Alanı")))</f>
        <v>Gelişim Alanı</v>
      </c>
      <c r="L47" s="9" t="n">
        <f aca="false">AVERAGEIFS(Yetkinlikler!$K$2:$K$600,Yetkinlikler!$A$2:$A$600,A47)</f>
        <v>0.2</v>
      </c>
    </row>
    <row r="48" customFormat="false" ht="15" hidden="false" customHeight="false" outlineLevel="0" collapsed="false">
      <c r="A48" s="4" t="s">
        <v>137</v>
      </c>
      <c r="B48" s="4" t="s">
        <v>138</v>
      </c>
      <c r="C48" s="4" t="s">
        <v>8</v>
      </c>
      <c r="D48" s="4" t="s">
        <v>139</v>
      </c>
      <c r="E48" s="4" t="s">
        <v>32</v>
      </c>
      <c r="F48" s="5" t="n">
        <f aca="false">INDEX(Parametreler!$B$5:$B$9,MATCH(C48,Parametreler!$A$5:$A$9,0))</f>
        <v>0.6</v>
      </c>
      <c r="G48" s="5" t="n">
        <f aca="false">INDEX(Parametreler!$C$5:$C$9,MATCH(C48,Parametreler!$A$5:$A$9,0))</f>
        <v>0.4</v>
      </c>
      <c r="H48" s="9" t="n">
        <f aca="false">SUMIFS(Hedefler!$L$2:$L$400,Hedefler!$A$2:$A$400,A48)</f>
        <v>88.721909988842</v>
      </c>
      <c r="I48" s="9" t="n">
        <f aca="false">AVERAGEIFS(Yetkinlikler!$J$2:$J$600,Yetkinlikler!$A$2:$A$600,A48)/5*100</f>
        <v>85.7142857142857</v>
      </c>
      <c r="J48" s="9" t="n">
        <f aca="false">H48*F48+I48*G48</f>
        <v>87.5188602790195</v>
      </c>
      <c r="K48" s="4" t="str">
        <f aca="false">IF(J48&gt;=100,"Yıldız",IF(J48&gt;=85,"Güçlü",IF(J48&gt;=70,"Beklenen","Gelişim Alanı")))</f>
        <v>Güçlü</v>
      </c>
      <c r="L48" s="9" t="n">
        <f aca="false">AVERAGEIFS(Yetkinlikler!$K$2:$K$600,Yetkinlikler!$A$2:$A$600,A48)</f>
        <v>0.285714285714286</v>
      </c>
    </row>
    <row r="49" customFormat="false" ht="15" hidden="false" customHeight="false" outlineLevel="0" collapsed="false">
      <c r="A49" s="4" t="s">
        <v>140</v>
      </c>
      <c r="B49" s="4" t="s">
        <v>141</v>
      </c>
      <c r="C49" s="4" t="s">
        <v>6</v>
      </c>
      <c r="D49" s="4" t="s">
        <v>139</v>
      </c>
      <c r="E49" s="4" t="s">
        <v>32</v>
      </c>
      <c r="F49" s="5" t="n">
        <f aca="false">INDEX(Parametreler!$B$5:$B$9,MATCH(C49,Parametreler!$A$5:$A$9,0))</f>
        <v>0.7</v>
      </c>
      <c r="G49" s="5" t="n">
        <f aca="false">INDEX(Parametreler!$C$5:$C$9,MATCH(C49,Parametreler!$A$5:$A$9,0))</f>
        <v>0.3</v>
      </c>
      <c r="H49" s="9" t="n">
        <f aca="false">SUMIFS(Hedefler!$L$2:$L$400,Hedefler!$A$2:$A$400,A49)</f>
        <v>87.5788643450634</v>
      </c>
      <c r="I49" s="9" t="n">
        <f aca="false">AVERAGEIFS(Yetkinlikler!$J$2:$J$600,Yetkinlikler!$A$2:$A$600,A49)/5*100</f>
        <v>80</v>
      </c>
      <c r="J49" s="9" t="n">
        <f aca="false">H49*F49+I49*G49</f>
        <v>85.3052050415444</v>
      </c>
      <c r="K49" s="4" t="str">
        <f aca="false">IF(J49&gt;=100,"Yıldız",IF(J49&gt;=85,"Güçlü",IF(J49&gt;=70,"Beklenen","Gelişim Alanı")))</f>
        <v>Güçlü</v>
      </c>
      <c r="L49" s="9" t="n">
        <f aca="false">AVERAGEIFS(Yetkinlikler!$K$2:$K$600,Yetkinlikler!$A$2:$A$600,A49)</f>
        <v>0</v>
      </c>
    </row>
    <row r="50" customFormat="false" ht="15" hidden="false" customHeight="false" outlineLevel="0" collapsed="false">
      <c r="A50" s="4" t="s">
        <v>142</v>
      </c>
      <c r="B50" s="4" t="s">
        <v>143</v>
      </c>
      <c r="C50" s="4" t="s">
        <v>6</v>
      </c>
      <c r="D50" s="4" t="s">
        <v>139</v>
      </c>
      <c r="E50" s="4" t="s">
        <v>32</v>
      </c>
      <c r="F50" s="5" t="n">
        <f aca="false">INDEX(Parametreler!$B$5:$B$9,MATCH(C50,Parametreler!$A$5:$A$9,0))</f>
        <v>0.7</v>
      </c>
      <c r="G50" s="5" t="n">
        <f aca="false">INDEX(Parametreler!$C$5:$C$9,MATCH(C50,Parametreler!$A$5:$A$9,0))</f>
        <v>0.3</v>
      </c>
      <c r="H50" s="9" t="n">
        <f aca="false">SUMIFS(Hedefler!$L$2:$L$400,Hedefler!$A$2:$A$400,A50)</f>
        <v>70.0745338361618</v>
      </c>
      <c r="I50" s="9" t="n">
        <f aca="false">AVERAGEIFS(Yetkinlikler!$J$2:$J$600,Yetkinlikler!$A$2:$A$600,A50)/5*100</f>
        <v>74.2857142857143</v>
      </c>
      <c r="J50" s="9" t="n">
        <f aca="false">H50*F50+I50*G50</f>
        <v>71.3378879710275</v>
      </c>
      <c r="K50" s="4" t="str">
        <f aca="false">IF(J50&gt;=100,"Yıldız",IF(J50&gt;=85,"Güçlü",IF(J50&gt;=70,"Beklenen","Gelişim Alanı")))</f>
        <v>Beklenen</v>
      </c>
      <c r="L50" s="9" t="n">
        <f aca="false">AVERAGEIFS(Yetkinlikler!$K$2:$K$600,Yetkinlikler!$A$2:$A$600,A50)</f>
        <v>0.142857142857143</v>
      </c>
    </row>
    <row r="51" customFormat="false" ht="15" hidden="false" customHeight="false" outlineLevel="0" collapsed="false">
      <c r="A51" s="4" t="s">
        <v>144</v>
      </c>
      <c r="B51" s="4" t="s">
        <v>145</v>
      </c>
      <c r="C51" s="4" t="s">
        <v>6</v>
      </c>
      <c r="D51" s="4" t="s">
        <v>139</v>
      </c>
      <c r="E51" s="4" t="s">
        <v>32</v>
      </c>
      <c r="F51" s="5" t="n">
        <f aca="false">INDEX(Parametreler!$B$5:$B$9,MATCH(C51,Parametreler!$A$5:$A$9,0))</f>
        <v>0.7</v>
      </c>
      <c r="G51" s="5" t="n">
        <f aca="false">INDEX(Parametreler!$C$5:$C$9,MATCH(C51,Parametreler!$A$5:$A$9,0))</f>
        <v>0.3</v>
      </c>
      <c r="H51" s="9" t="n">
        <f aca="false">SUMIFS(Hedefler!$L$2:$L$400,Hedefler!$A$2:$A$400,A51)</f>
        <v>92.6013710747457</v>
      </c>
      <c r="I51" s="9" t="n">
        <f aca="false">AVERAGEIFS(Yetkinlikler!$J$2:$J$600,Yetkinlikler!$A$2:$A$600,A51)/5*100</f>
        <v>91.4285714285714</v>
      </c>
      <c r="J51" s="9" t="n">
        <f aca="false">H51*F51+I51*G51</f>
        <v>92.2495311808934</v>
      </c>
      <c r="K51" s="4" t="str">
        <f aca="false">IF(J51&gt;=100,"Yıldız",IF(J51&gt;=85,"Güçlü",IF(J51&gt;=70,"Beklenen","Gelişim Alanı")))</f>
        <v>Güçlü</v>
      </c>
      <c r="L51" s="9" t="n">
        <f aca="false">AVERAGEIFS(Yetkinlikler!$K$2:$K$600,Yetkinlikler!$A$2:$A$600,A51)</f>
        <v>-0.428571428571429</v>
      </c>
    </row>
    <row r="52" customFormat="false" ht="15" hidden="false" customHeight="false" outlineLevel="0" collapsed="false">
      <c r="A52" s="4" t="s">
        <v>146</v>
      </c>
      <c r="B52" s="4" t="s">
        <v>147</v>
      </c>
      <c r="C52" s="4" t="s">
        <v>6</v>
      </c>
      <c r="D52" s="4" t="s">
        <v>139</v>
      </c>
      <c r="E52" s="4" t="s">
        <v>32</v>
      </c>
      <c r="F52" s="5" t="n">
        <f aca="false">INDEX(Parametreler!$B$5:$B$9,MATCH(C52,Parametreler!$A$5:$A$9,0))</f>
        <v>0.7</v>
      </c>
      <c r="G52" s="5" t="n">
        <f aca="false">INDEX(Parametreler!$C$5:$C$9,MATCH(C52,Parametreler!$A$5:$A$9,0))</f>
        <v>0.3</v>
      </c>
      <c r="H52" s="9" t="n">
        <f aca="false">SUMIFS(Hedefler!$L$2:$L$400,Hedefler!$A$2:$A$400,A52)</f>
        <v>54.8381994548661</v>
      </c>
      <c r="I52" s="9" t="n">
        <f aca="false">AVERAGEIFS(Yetkinlikler!$J$2:$J$600,Yetkinlikler!$A$2:$A$600,A52)/5*100</f>
        <v>65.7142857142857</v>
      </c>
      <c r="J52" s="9" t="n">
        <f aca="false">H52*F52+I52*G52</f>
        <v>58.101025332692</v>
      </c>
      <c r="K52" s="4" t="str">
        <f aca="false">IF(J52&gt;=100,"Yıldız",IF(J52&gt;=85,"Güçlü",IF(J52&gt;=70,"Beklenen","Gelişim Alanı")))</f>
        <v>Gelişim Alanı</v>
      </c>
      <c r="L52" s="9" t="n">
        <f aca="false">AVERAGEIFS(Yetkinlikler!$K$2:$K$600,Yetkinlikler!$A$2:$A$600,A52)</f>
        <v>0</v>
      </c>
    </row>
    <row r="53" customFormat="false" ht="15" hidden="false" customHeight="false" outlineLevel="0" collapsed="false">
      <c r="A53" s="4" t="s">
        <v>148</v>
      </c>
      <c r="B53" s="4" t="s">
        <v>149</v>
      </c>
      <c r="C53" s="4" t="s">
        <v>6</v>
      </c>
      <c r="D53" s="4" t="s">
        <v>139</v>
      </c>
      <c r="E53" s="4" t="s">
        <v>32</v>
      </c>
      <c r="F53" s="5" t="n">
        <f aca="false">INDEX(Parametreler!$B$5:$B$9,MATCH(C53,Parametreler!$A$5:$A$9,0))</f>
        <v>0.7</v>
      </c>
      <c r="G53" s="5" t="n">
        <f aca="false">INDEX(Parametreler!$C$5:$C$9,MATCH(C53,Parametreler!$A$5:$A$9,0))</f>
        <v>0.3</v>
      </c>
      <c r="H53" s="9" t="n">
        <f aca="false">SUMIFS(Hedefler!$L$2:$L$400,Hedefler!$A$2:$A$400,A53)</f>
        <v>89.0958493132114</v>
      </c>
      <c r="I53" s="9" t="n">
        <f aca="false">AVERAGEIFS(Yetkinlikler!$J$2:$J$600,Yetkinlikler!$A$2:$A$600,A53)/5*100</f>
        <v>91.4285714285714</v>
      </c>
      <c r="J53" s="9" t="n">
        <f aca="false">H53*F53+I53*G53</f>
        <v>89.7956659478194</v>
      </c>
      <c r="K53" s="4" t="str">
        <f aca="false">IF(J53&gt;=100,"Yıldız",IF(J53&gt;=85,"Güçlü",IF(J53&gt;=70,"Beklenen","Gelişim Alanı")))</f>
        <v>Güçlü</v>
      </c>
      <c r="L53" s="9" t="n">
        <f aca="false">AVERAGEIFS(Yetkinlikler!$K$2:$K$600,Yetkinlikler!$A$2:$A$600,A53)</f>
        <v>-0.142857142857143</v>
      </c>
    </row>
    <row r="54" customFormat="false" ht="15" hidden="false" customHeight="false" outlineLevel="0" collapsed="false">
      <c r="A54" s="4" t="s">
        <v>150</v>
      </c>
      <c r="B54" s="4" t="s">
        <v>151</v>
      </c>
      <c r="C54" s="4" t="s">
        <v>6</v>
      </c>
      <c r="D54" s="4" t="s">
        <v>139</v>
      </c>
      <c r="E54" s="4" t="s">
        <v>32</v>
      </c>
      <c r="F54" s="5" t="n">
        <f aca="false">INDEX(Parametreler!$B$5:$B$9,MATCH(C54,Parametreler!$A$5:$A$9,0))</f>
        <v>0.7</v>
      </c>
      <c r="G54" s="5" t="n">
        <f aca="false">INDEX(Parametreler!$C$5:$C$9,MATCH(C54,Parametreler!$A$5:$A$9,0))</f>
        <v>0.3</v>
      </c>
      <c r="H54" s="9" t="n">
        <f aca="false">SUMIFS(Hedefler!$L$2:$L$400,Hedefler!$A$2:$A$400,A54)</f>
        <v>115.547945281903</v>
      </c>
      <c r="I54" s="9" t="n">
        <f aca="false">AVERAGEIFS(Yetkinlikler!$J$2:$J$600,Yetkinlikler!$A$2:$A$600,A54)/5*100</f>
        <v>97.1428571428571</v>
      </c>
      <c r="J54" s="9" t="n">
        <f aca="false">H54*F54+I54*G54</f>
        <v>110.026418840189</v>
      </c>
      <c r="K54" s="4" t="str">
        <f aca="false">IF(J54&gt;=100,"Yıldız",IF(J54&gt;=85,"Güçlü",IF(J54&gt;=70,"Beklenen","Gelişim Alanı")))</f>
        <v>Yıldız</v>
      </c>
      <c r="L54" s="9" t="n">
        <f aca="false">AVERAGEIFS(Yetkinlikler!$K$2:$K$600,Yetkinlikler!$A$2:$A$600,A54)</f>
        <v>0</v>
      </c>
    </row>
    <row r="55" customFormat="false" ht="15" hidden="false" customHeight="false" outlineLevel="0" collapsed="false">
      <c r="A55" s="4" t="s">
        <v>152</v>
      </c>
      <c r="B55" s="4" t="s">
        <v>153</v>
      </c>
      <c r="C55" s="4" t="s">
        <v>6</v>
      </c>
      <c r="D55" s="4" t="s">
        <v>139</v>
      </c>
      <c r="E55" s="4" t="s">
        <v>32</v>
      </c>
      <c r="F55" s="5" t="n">
        <f aca="false">INDEX(Parametreler!$B$5:$B$9,MATCH(C55,Parametreler!$A$5:$A$9,0))</f>
        <v>0.7</v>
      </c>
      <c r="G55" s="5" t="n">
        <f aca="false">INDEX(Parametreler!$C$5:$C$9,MATCH(C55,Parametreler!$A$5:$A$9,0))</f>
        <v>0.3</v>
      </c>
      <c r="H55" s="9" t="n">
        <f aca="false">SUMIFS(Hedefler!$L$2:$L$400,Hedefler!$A$2:$A$400,A55)</f>
        <v>74.5948776637859</v>
      </c>
      <c r="I55" s="9" t="n">
        <f aca="false">AVERAGEIFS(Yetkinlikler!$J$2:$J$600,Yetkinlikler!$A$2:$A$600,A55)/5*100</f>
        <v>88.5714285714286</v>
      </c>
      <c r="J55" s="9" t="n">
        <f aca="false">H55*F55+I55*G55</f>
        <v>78.7878429360787</v>
      </c>
      <c r="K55" s="4" t="str">
        <f aca="false">IF(J55&gt;=100,"Yıldız",IF(J55&gt;=85,"Güçlü",IF(J55&gt;=70,"Beklenen","Gelişim Alanı")))</f>
        <v>Beklenen</v>
      </c>
      <c r="L55" s="9" t="n">
        <f aca="false">AVERAGEIFS(Yetkinlikler!$K$2:$K$600,Yetkinlikler!$A$2:$A$600,A55)</f>
        <v>0</v>
      </c>
    </row>
    <row r="56" customFormat="false" ht="15" hidden="false" customHeight="false" outlineLevel="0" collapsed="false">
      <c r="A56" s="4" t="s">
        <v>154</v>
      </c>
      <c r="B56" s="4" t="s">
        <v>155</v>
      </c>
      <c r="C56" s="4" t="s">
        <v>6</v>
      </c>
      <c r="D56" s="4" t="s">
        <v>139</v>
      </c>
      <c r="E56" s="4" t="s">
        <v>32</v>
      </c>
      <c r="F56" s="5" t="n">
        <f aca="false">INDEX(Parametreler!$B$5:$B$9,MATCH(C56,Parametreler!$A$5:$A$9,0))</f>
        <v>0.7</v>
      </c>
      <c r="G56" s="5" t="n">
        <f aca="false">INDEX(Parametreler!$C$5:$C$9,MATCH(C56,Parametreler!$A$5:$A$9,0))</f>
        <v>0.3</v>
      </c>
      <c r="H56" s="9" t="n">
        <f aca="false">SUMIFS(Hedefler!$L$2:$L$400,Hedefler!$A$2:$A$400,A56)</f>
        <v>95.3960884353742</v>
      </c>
      <c r="I56" s="9" t="n">
        <f aca="false">AVERAGEIFS(Yetkinlikler!$J$2:$J$600,Yetkinlikler!$A$2:$A$600,A56)/5*100</f>
        <v>88.5714285714286</v>
      </c>
      <c r="J56" s="9" t="n">
        <f aca="false">H56*F56+I56*G56</f>
        <v>93.3486904761905</v>
      </c>
      <c r="K56" s="4" t="str">
        <f aca="false">IF(J56&gt;=100,"Yıldız",IF(J56&gt;=85,"Güçlü",IF(J56&gt;=70,"Beklenen","Gelişim Alanı")))</f>
        <v>Güçlü</v>
      </c>
      <c r="L56" s="9" t="n">
        <f aca="false">AVERAGEIFS(Yetkinlikler!$K$2:$K$600,Yetkinlikler!$A$2:$A$600,A56)</f>
        <v>0.428571428571429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2026-09-18T04:55:55Z</dcterms:created>
  <dc:creator>openpyxl</dc:creator>
  <dc:description/>
  <dc:language>en-US</dc:language>
  <cp:lastModifiedBy/>
  <dcterms:modified xsi:type="dcterms:W3CDTF">2026-09-18T04:55:56Z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